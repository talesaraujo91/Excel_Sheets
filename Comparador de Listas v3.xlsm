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ales.CONELA\Desktop\"/>
    </mc:Choice>
  </mc:AlternateContent>
  <bookViews>
    <workbookView xWindow="-120" yWindow="-120" windowWidth="20730" windowHeight="11160"/>
  </bookViews>
  <sheets>
    <sheet name="Inicio" sheetId="3" r:id="rId1"/>
    <sheet name="Comparacao" sheetId="1" r:id="rId2"/>
    <sheet name="Filtro" sheetId="2" r:id="rId3"/>
  </sheets>
  <definedNames>
    <definedName name="_xlnm._FilterDatabase" localSheetId="1" hidden="1">Comparacao!$A$4:$J$4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" l="1" a="1"/>
  <c r="G5" i="1" s="1"/>
  <c r="G8" i="1" s="1" a="1"/>
  <c r="G8" i="1" s="1"/>
  <c r="A5" i="1" a="1"/>
  <c r="A5" i="1" s="1"/>
  <c r="A8" i="1" s="1" a="1"/>
  <c r="A8" i="1" s="1"/>
  <c r="A6" i="3"/>
  <c r="A3" i="3"/>
  <c r="F3" i="2"/>
  <c r="A3" i="2"/>
  <c r="G3" i="1"/>
  <c r="A3" i="1"/>
  <c r="G192" i="1" l="1" a="1"/>
  <c r="G192" i="1" s="1"/>
  <c r="G147" i="1" a="1"/>
  <c r="G147" i="1" s="1"/>
  <c r="G83" i="1" a="1"/>
  <c r="G83" i="1" s="1"/>
  <c r="G200" i="1" a="1"/>
  <c r="G200" i="1" s="1"/>
  <c r="H200" i="1" s="1"/>
  <c r="G199" i="1" a="1"/>
  <c r="G199" i="1" s="1"/>
  <c r="G193" i="1" a="1"/>
  <c r="G193" i="1" s="1"/>
  <c r="G180" i="1" a="1"/>
  <c r="G180" i="1" s="1"/>
  <c r="I180" i="1" s="1"/>
  <c r="K180" i="1" s="1"/>
  <c r="G174" i="1" a="1"/>
  <c r="G174" i="1" s="1"/>
  <c r="H174" i="1" s="1"/>
  <c r="G167" i="1" a="1"/>
  <c r="G167" i="1" s="1"/>
  <c r="G161" i="1" a="1"/>
  <c r="G161" i="1" s="1"/>
  <c r="G148" i="1" a="1"/>
  <c r="G148" i="1" s="1"/>
  <c r="G142" i="1" a="1"/>
  <c r="G142" i="1" s="1"/>
  <c r="H142" i="1" s="1"/>
  <c r="G135" i="1" a="1"/>
  <c r="G135" i="1" s="1"/>
  <c r="G129" i="1" a="1"/>
  <c r="G129" i="1" s="1"/>
  <c r="G116" i="1" a="1"/>
  <c r="G116" i="1" s="1"/>
  <c r="I116" i="1" s="1"/>
  <c r="K116" i="1" s="1"/>
  <c r="G110" i="1" a="1"/>
  <c r="G110" i="1" s="1"/>
  <c r="I110" i="1" s="1"/>
  <c r="K110" i="1" s="1"/>
  <c r="G103" i="1" a="1"/>
  <c r="G103" i="1" s="1"/>
  <c r="G97" i="1" a="1"/>
  <c r="G97" i="1" s="1"/>
  <c r="G84" i="1" a="1"/>
  <c r="G84" i="1" s="1"/>
  <c r="G78" i="1" a="1"/>
  <c r="G78" i="1" s="1"/>
  <c r="H78" i="1" s="1"/>
  <c r="G71" i="1" a="1"/>
  <c r="G71" i="1" s="1"/>
  <c r="J71" i="1" s="1"/>
  <c r="G65" i="1" a="1"/>
  <c r="G65" i="1" s="1"/>
  <c r="G52" i="1" a="1"/>
  <c r="G52" i="1" s="1"/>
  <c r="I52" i="1" s="1"/>
  <c r="K52" i="1" s="1"/>
  <c r="G46" i="1" a="1"/>
  <c r="G46" i="1" s="1"/>
  <c r="H46" i="1" s="1"/>
  <c r="G39" i="1" a="1"/>
  <c r="G39" i="1" s="1"/>
  <c r="G33" i="1" a="1"/>
  <c r="G33" i="1" s="1"/>
  <c r="G20" i="1" a="1"/>
  <c r="G20" i="1" s="1"/>
  <c r="G14" i="1" a="1"/>
  <c r="G14" i="1" s="1"/>
  <c r="H14" i="1" s="1"/>
  <c r="G186" i="1" a="1"/>
  <c r="G186" i="1" s="1"/>
  <c r="H186" i="1" s="1"/>
  <c r="G141" i="1" a="1"/>
  <c r="G141" i="1" s="1"/>
  <c r="G115" i="1" a="1"/>
  <c r="G115" i="1" s="1"/>
  <c r="H115" i="1" s="1"/>
  <c r="G58" i="1" a="1"/>
  <c r="G58" i="1" s="1"/>
  <c r="I58" i="1" s="1"/>
  <c r="K58" i="1" s="1"/>
  <c r="G32" i="1" a="1"/>
  <c r="G32" i="1" s="1"/>
  <c r="G13" i="1" a="1"/>
  <c r="G13" i="1" s="1"/>
  <c r="G198" i="1" a="1"/>
  <c r="G198" i="1" s="1"/>
  <c r="H198" i="1" s="1"/>
  <c r="G191" i="1" a="1"/>
  <c r="G191" i="1" s="1"/>
  <c r="I191" i="1" s="1"/>
  <c r="K191" i="1" s="1"/>
  <c r="G185" i="1" a="1"/>
  <c r="G185" i="1" s="1"/>
  <c r="J185" i="1" s="1"/>
  <c r="G172" i="1" a="1"/>
  <c r="G172" i="1" s="1"/>
  <c r="G166" i="1" a="1"/>
  <c r="G166" i="1" s="1"/>
  <c r="H166" i="1" s="1"/>
  <c r="G159" i="1" a="1"/>
  <c r="G159" i="1" s="1"/>
  <c r="J159" i="1" s="1"/>
  <c r="G153" i="1" a="1"/>
  <c r="G153" i="1" s="1"/>
  <c r="G140" i="1" a="1"/>
  <c r="G140" i="1" s="1"/>
  <c r="G134" i="1" a="1"/>
  <c r="G134" i="1" s="1"/>
  <c r="J134" i="1" s="1"/>
  <c r="G127" i="1" a="1"/>
  <c r="G127" i="1" s="1"/>
  <c r="H127" i="1" s="1"/>
  <c r="G121" i="1" a="1"/>
  <c r="G121" i="1" s="1"/>
  <c r="I121" i="1" s="1"/>
  <c r="K121" i="1" s="1"/>
  <c r="G108" i="1" a="1"/>
  <c r="G108" i="1" s="1"/>
  <c r="G102" i="1" a="1"/>
  <c r="G102" i="1" s="1"/>
  <c r="H102" i="1" s="1"/>
  <c r="G95" i="1" a="1"/>
  <c r="G95" i="1" s="1"/>
  <c r="J95" i="1" s="1"/>
  <c r="G89" i="1" a="1"/>
  <c r="G89" i="1" s="1"/>
  <c r="G76" i="1" a="1"/>
  <c r="G76" i="1" s="1"/>
  <c r="G70" i="1" a="1"/>
  <c r="G70" i="1" s="1"/>
  <c r="H70" i="1" s="1"/>
  <c r="G63" i="1" a="1"/>
  <c r="G63" i="1" s="1"/>
  <c r="I63" i="1" s="1"/>
  <c r="K63" i="1" s="1"/>
  <c r="G57" i="1" a="1"/>
  <c r="G57" i="1" s="1"/>
  <c r="G44" i="1" a="1"/>
  <c r="G44" i="1" s="1"/>
  <c r="I44" i="1" s="1"/>
  <c r="K44" i="1" s="1"/>
  <c r="G38" i="1" a="1"/>
  <c r="G38" i="1" s="1"/>
  <c r="H38" i="1" s="1"/>
  <c r="G31" i="1" a="1"/>
  <c r="G31" i="1" s="1"/>
  <c r="I31" i="1" s="1"/>
  <c r="G25" i="1" a="1"/>
  <c r="G25" i="1" s="1"/>
  <c r="G12" i="1" a="1"/>
  <c r="G12" i="1" s="1"/>
  <c r="G154" i="1" a="1"/>
  <c r="G154" i="1" s="1"/>
  <c r="H154" i="1" s="1"/>
  <c r="G109" i="1" a="1"/>
  <c r="G109" i="1" s="1"/>
  <c r="I109" i="1" s="1"/>
  <c r="K109" i="1" s="1"/>
  <c r="G64" i="1" a="1"/>
  <c r="G64" i="1" s="1"/>
  <c r="J64" i="1" s="1"/>
  <c r="G45" i="1" a="1"/>
  <c r="G45" i="1" s="1"/>
  <c r="J45" i="1" s="1"/>
  <c r="G19" i="1" a="1"/>
  <c r="G19" i="1" s="1"/>
  <c r="H19" i="1" s="1"/>
  <c r="G197" i="1" a="1"/>
  <c r="G197" i="1" s="1"/>
  <c r="H197" i="1" s="1"/>
  <c r="G184" i="1" a="1"/>
  <c r="G184" i="1" s="1"/>
  <c r="G178" i="1" a="1"/>
  <c r="G178" i="1" s="1"/>
  <c r="G171" i="1" a="1"/>
  <c r="G171" i="1" s="1"/>
  <c r="I171" i="1" s="1"/>
  <c r="K171" i="1" s="1"/>
  <c r="G165" i="1" a="1"/>
  <c r="G165" i="1" s="1"/>
  <c r="I165" i="1" s="1"/>
  <c r="K165" i="1" s="1"/>
  <c r="G152" i="1" a="1"/>
  <c r="G152" i="1" s="1"/>
  <c r="H152" i="1" s="1"/>
  <c r="G146" i="1" a="1"/>
  <c r="G146" i="1" s="1"/>
  <c r="G139" i="1" a="1"/>
  <c r="G139" i="1" s="1"/>
  <c r="H139" i="1" s="1"/>
  <c r="G133" i="1" a="1"/>
  <c r="G133" i="1" s="1"/>
  <c r="I133" i="1" s="1"/>
  <c r="K133" i="1" s="1"/>
  <c r="G120" i="1" a="1"/>
  <c r="G120" i="1" s="1"/>
  <c r="G114" i="1" a="1"/>
  <c r="G114" i="1" s="1"/>
  <c r="G107" i="1" a="1"/>
  <c r="G107" i="1" s="1"/>
  <c r="H107" i="1" s="1"/>
  <c r="G101" i="1" a="1"/>
  <c r="G101" i="1" s="1"/>
  <c r="I101" i="1" s="1"/>
  <c r="K101" i="1" s="1"/>
  <c r="G88" i="1" a="1"/>
  <c r="G88" i="1" s="1"/>
  <c r="I88" i="1" s="1"/>
  <c r="K88" i="1" s="1"/>
  <c r="G82" i="1" a="1"/>
  <c r="G82" i="1" s="1"/>
  <c r="I82" i="1" s="1"/>
  <c r="K82" i="1" s="1"/>
  <c r="G75" i="1" a="1"/>
  <c r="G75" i="1" s="1"/>
  <c r="I75" i="1" s="1"/>
  <c r="K75" i="1" s="1"/>
  <c r="G69" i="1" a="1"/>
  <c r="G69" i="1" s="1"/>
  <c r="I69" i="1" s="1"/>
  <c r="K69" i="1" s="1"/>
  <c r="G56" i="1" a="1"/>
  <c r="G56" i="1" s="1"/>
  <c r="G50" i="1" a="1"/>
  <c r="G50" i="1" s="1"/>
  <c r="G43" i="1" a="1"/>
  <c r="G43" i="1" s="1"/>
  <c r="H43" i="1" s="1"/>
  <c r="G37" i="1" a="1"/>
  <c r="G37" i="1" s="1"/>
  <c r="I37" i="1" s="1"/>
  <c r="G24" i="1" a="1"/>
  <c r="G24" i="1" s="1"/>
  <c r="G18" i="1" a="1"/>
  <c r="G18" i="1" s="1"/>
  <c r="G11" i="1" a="1"/>
  <c r="G11" i="1" s="1"/>
  <c r="H11" i="1" s="1"/>
  <c r="G160" i="1" a="1"/>
  <c r="G160" i="1" s="1"/>
  <c r="H160" i="1" s="1"/>
  <c r="G90" i="1" a="1"/>
  <c r="G90" i="1" s="1"/>
  <c r="G51" i="1" a="1"/>
  <c r="G51" i="1" s="1"/>
  <c r="G26" i="1" a="1"/>
  <c r="G26" i="1" s="1"/>
  <c r="I26" i="1" s="1"/>
  <c r="G196" i="1" a="1"/>
  <c r="G196" i="1" s="1"/>
  <c r="J196" i="1" s="1"/>
  <c r="G190" i="1" a="1"/>
  <c r="G190" i="1" s="1"/>
  <c r="H190" i="1" s="1"/>
  <c r="G183" i="1" a="1"/>
  <c r="G183" i="1" s="1"/>
  <c r="H183" i="1" s="1"/>
  <c r="G177" i="1" a="1"/>
  <c r="G177" i="1" s="1"/>
  <c r="I177" i="1" s="1"/>
  <c r="K177" i="1" s="1"/>
  <c r="G164" i="1" a="1"/>
  <c r="G164" i="1" s="1"/>
  <c r="J164" i="1" s="1"/>
  <c r="G158" i="1" a="1"/>
  <c r="G158" i="1" s="1"/>
  <c r="G151" i="1" a="1"/>
  <c r="G151" i="1" s="1"/>
  <c r="G145" i="1" a="1"/>
  <c r="G145" i="1" s="1"/>
  <c r="J145" i="1" s="1"/>
  <c r="G132" i="1" a="1"/>
  <c r="G132" i="1" s="1"/>
  <c r="J132" i="1" s="1"/>
  <c r="G126" i="1" a="1"/>
  <c r="G126" i="1" s="1"/>
  <c r="J126" i="1" s="1"/>
  <c r="G119" i="1" a="1"/>
  <c r="G119" i="1" s="1"/>
  <c r="H119" i="1" s="1"/>
  <c r="G113" i="1" a="1"/>
  <c r="G113" i="1" s="1"/>
  <c r="J113" i="1" s="1"/>
  <c r="G100" i="1" a="1"/>
  <c r="G100" i="1" s="1"/>
  <c r="I100" i="1" s="1"/>
  <c r="K100" i="1" s="1"/>
  <c r="G94" i="1" a="1"/>
  <c r="G94" i="1" s="1"/>
  <c r="G87" i="1" a="1"/>
  <c r="G87" i="1" s="1"/>
  <c r="G81" i="1" a="1"/>
  <c r="G81" i="1" s="1"/>
  <c r="J81" i="1" s="1"/>
  <c r="G68" i="1" a="1"/>
  <c r="G68" i="1" s="1"/>
  <c r="J68" i="1" s="1"/>
  <c r="G62" i="1" a="1"/>
  <c r="G62" i="1" s="1"/>
  <c r="H62" i="1" s="1"/>
  <c r="G55" i="1" a="1"/>
  <c r="G55" i="1" s="1"/>
  <c r="I55" i="1" s="1"/>
  <c r="K55" i="1" s="1"/>
  <c r="G49" i="1" a="1"/>
  <c r="G49" i="1" s="1"/>
  <c r="H49" i="1" s="1"/>
  <c r="G36" i="1" a="1"/>
  <c r="G36" i="1" s="1"/>
  <c r="J36" i="1" s="1"/>
  <c r="G30" i="1" a="1"/>
  <c r="G30" i="1" s="1"/>
  <c r="G23" i="1" a="1"/>
  <c r="G23" i="1" s="1"/>
  <c r="G17" i="1" a="1"/>
  <c r="G17" i="1" s="1"/>
  <c r="I17" i="1" s="1"/>
  <c r="G195" i="1" a="1"/>
  <c r="G195" i="1" s="1"/>
  <c r="H195" i="1" s="1"/>
  <c r="G189" i="1" a="1"/>
  <c r="G189" i="1" s="1"/>
  <c r="G176" i="1" a="1"/>
  <c r="G176" i="1" s="1"/>
  <c r="H176" i="1" s="1"/>
  <c r="G170" i="1" a="1"/>
  <c r="G170" i="1" s="1"/>
  <c r="J170" i="1" s="1"/>
  <c r="G163" i="1" a="1"/>
  <c r="G163" i="1" s="1"/>
  <c r="H163" i="1" s="1"/>
  <c r="G157" i="1" a="1"/>
  <c r="G157" i="1" s="1"/>
  <c r="G144" i="1" a="1"/>
  <c r="G144" i="1" s="1"/>
  <c r="G138" i="1" a="1"/>
  <c r="G138" i="1" s="1"/>
  <c r="H138" i="1" s="1"/>
  <c r="G131" i="1" a="1"/>
  <c r="G131" i="1" s="1"/>
  <c r="I131" i="1" s="1"/>
  <c r="K131" i="1" s="1"/>
  <c r="G125" i="1" a="1"/>
  <c r="G125" i="1" s="1"/>
  <c r="I125" i="1" s="1"/>
  <c r="K125" i="1" s="1"/>
  <c r="G112" i="1" a="1"/>
  <c r="G112" i="1" s="1"/>
  <c r="G106" i="1" a="1"/>
  <c r="G106" i="1" s="1"/>
  <c r="I106" i="1" s="1"/>
  <c r="K106" i="1" s="1"/>
  <c r="G99" i="1" a="1"/>
  <c r="G99" i="1" s="1"/>
  <c r="H99" i="1" s="1"/>
  <c r="G93" i="1" a="1"/>
  <c r="G93" i="1" s="1"/>
  <c r="G80" i="1" a="1"/>
  <c r="G80" i="1" s="1"/>
  <c r="G74" i="1" a="1"/>
  <c r="G74" i="1" s="1"/>
  <c r="I74" i="1" s="1"/>
  <c r="K74" i="1" s="1"/>
  <c r="G67" i="1" a="1"/>
  <c r="G67" i="1" s="1"/>
  <c r="J67" i="1" s="1"/>
  <c r="G61" i="1" a="1"/>
  <c r="G61" i="1" s="1"/>
  <c r="I61" i="1" s="1"/>
  <c r="K61" i="1" s="1"/>
  <c r="G48" i="1" a="1"/>
  <c r="G48" i="1" s="1"/>
  <c r="H48" i="1" s="1"/>
  <c r="G42" i="1" a="1"/>
  <c r="G42" i="1" s="1"/>
  <c r="I42" i="1" s="1"/>
  <c r="K42" i="1" s="1"/>
  <c r="G35" i="1" a="1"/>
  <c r="G35" i="1" s="1"/>
  <c r="J35" i="1" s="1"/>
  <c r="G29" i="1" a="1"/>
  <c r="G29" i="1" s="1"/>
  <c r="G16" i="1" a="1"/>
  <c r="G16" i="1" s="1"/>
  <c r="G10" i="1" a="1"/>
  <c r="G10" i="1" s="1"/>
  <c r="I10" i="1" s="1"/>
  <c r="G173" i="1" a="1"/>
  <c r="G173" i="1" s="1"/>
  <c r="I173" i="1" s="1"/>
  <c r="K173" i="1" s="1"/>
  <c r="G128" i="1" a="1"/>
  <c r="G128" i="1" s="1"/>
  <c r="H128" i="1" s="1"/>
  <c r="G96" i="1" a="1"/>
  <c r="G96" i="1" s="1"/>
  <c r="H96" i="1" s="1"/>
  <c r="G7" i="1" a="1"/>
  <c r="G7" i="1" s="1"/>
  <c r="I7" i="1" s="1"/>
  <c r="G188" i="1" a="1"/>
  <c r="G188" i="1" s="1"/>
  <c r="H188" i="1" s="1"/>
  <c r="G182" i="1" a="1"/>
  <c r="G182" i="1" s="1"/>
  <c r="G175" i="1" a="1"/>
  <c r="G175" i="1" s="1"/>
  <c r="G169" i="1" a="1"/>
  <c r="G169" i="1" s="1"/>
  <c r="H169" i="1" s="1"/>
  <c r="G156" i="1" a="1"/>
  <c r="G156" i="1" s="1"/>
  <c r="J156" i="1" s="1"/>
  <c r="G150" i="1" a="1"/>
  <c r="G150" i="1" s="1"/>
  <c r="I150" i="1" s="1"/>
  <c r="K150" i="1" s="1"/>
  <c r="G143" i="1" a="1"/>
  <c r="G143" i="1" s="1"/>
  <c r="H143" i="1" s="1"/>
  <c r="G137" i="1" a="1"/>
  <c r="G137" i="1" s="1"/>
  <c r="H137" i="1" s="1"/>
  <c r="G124" i="1" a="1"/>
  <c r="G124" i="1" s="1"/>
  <c r="H124" i="1" s="1"/>
  <c r="G118" i="1" a="1"/>
  <c r="G118" i="1" s="1"/>
  <c r="G111" i="1" a="1"/>
  <c r="G111" i="1" s="1"/>
  <c r="I111" i="1" s="1"/>
  <c r="K111" i="1" s="1"/>
  <c r="G105" i="1" a="1"/>
  <c r="G105" i="1" s="1"/>
  <c r="I105" i="1" s="1"/>
  <c r="K105" i="1" s="1"/>
  <c r="G92" i="1" a="1"/>
  <c r="G92" i="1" s="1"/>
  <c r="I92" i="1" s="1"/>
  <c r="K92" i="1" s="1"/>
  <c r="G86" i="1" a="1"/>
  <c r="G86" i="1" s="1"/>
  <c r="H86" i="1" s="1"/>
  <c r="G79" i="1" a="1"/>
  <c r="G79" i="1" s="1"/>
  <c r="J79" i="1" s="1"/>
  <c r="G73" i="1" a="1"/>
  <c r="G73" i="1" s="1"/>
  <c r="I73" i="1" s="1"/>
  <c r="K73" i="1" s="1"/>
  <c r="G60" i="1" a="1"/>
  <c r="G60" i="1" s="1"/>
  <c r="I60" i="1" s="1"/>
  <c r="K60" i="1" s="1"/>
  <c r="G54" i="1" a="1"/>
  <c r="G54" i="1" s="1"/>
  <c r="G47" i="1" a="1"/>
  <c r="G47" i="1" s="1"/>
  <c r="H47" i="1" s="1"/>
  <c r="G41" i="1" a="1"/>
  <c r="G41" i="1" s="1"/>
  <c r="H41" i="1" s="1"/>
  <c r="G28" i="1" a="1"/>
  <c r="G28" i="1" s="1"/>
  <c r="I28" i="1" s="1"/>
  <c r="G22" i="1" a="1"/>
  <c r="G22" i="1" s="1"/>
  <c r="I22" i="1" s="1"/>
  <c r="G15" i="1" a="1"/>
  <c r="G15" i="1" s="1"/>
  <c r="H15" i="1" s="1"/>
  <c r="G9" i="1" a="1"/>
  <c r="G9" i="1" s="1"/>
  <c r="I9" i="1" s="1"/>
  <c r="G179" i="1" a="1"/>
  <c r="G179" i="1" s="1"/>
  <c r="H179" i="1" s="1"/>
  <c r="G122" i="1" a="1"/>
  <c r="G122" i="1" s="1"/>
  <c r="G77" i="1" a="1"/>
  <c r="G77" i="1" s="1"/>
  <c r="I77" i="1" s="1"/>
  <c r="K77" i="1" s="1"/>
  <c r="G194" i="1" a="1"/>
  <c r="G194" i="1" s="1"/>
  <c r="H194" i="1" s="1"/>
  <c r="G187" i="1" a="1"/>
  <c r="G187" i="1" s="1"/>
  <c r="H187" i="1" s="1"/>
  <c r="G181" i="1" a="1"/>
  <c r="G181" i="1" s="1"/>
  <c r="I181" i="1" s="1"/>
  <c r="K181" i="1" s="1"/>
  <c r="G168" i="1" a="1"/>
  <c r="G168" i="1" s="1"/>
  <c r="I168" i="1" s="1"/>
  <c r="K168" i="1" s="1"/>
  <c r="G162" i="1" a="1"/>
  <c r="G162" i="1" s="1"/>
  <c r="I162" i="1" s="1"/>
  <c r="K162" i="1" s="1"/>
  <c r="G155" i="1" a="1"/>
  <c r="G155" i="1" s="1"/>
  <c r="H155" i="1" s="1"/>
  <c r="G149" i="1" a="1"/>
  <c r="G149" i="1" s="1"/>
  <c r="G136" i="1" a="1"/>
  <c r="G136" i="1" s="1"/>
  <c r="H136" i="1" s="1"/>
  <c r="G130" i="1" a="1"/>
  <c r="G130" i="1" s="1"/>
  <c r="J130" i="1" s="1"/>
  <c r="G123" i="1" a="1"/>
  <c r="G123" i="1" s="1"/>
  <c r="I123" i="1" s="1"/>
  <c r="K123" i="1" s="1"/>
  <c r="G117" i="1" a="1"/>
  <c r="G117" i="1" s="1"/>
  <c r="I117" i="1" s="1"/>
  <c r="K117" i="1" s="1"/>
  <c r="G104" i="1" a="1"/>
  <c r="G104" i="1" s="1"/>
  <c r="G98" i="1" a="1"/>
  <c r="G98" i="1" s="1"/>
  <c r="I98" i="1" s="1"/>
  <c r="K98" i="1" s="1"/>
  <c r="G91" i="1" a="1"/>
  <c r="G91" i="1" s="1"/>
  <c r="I91" i="1" s="1"/>
  <c r="K91" i="1" s="1"/>
  <c r="G85" i="1" a="1"/>
  <c r="G85" i="1" s="1"/>
  <c r="G72" i="1" a="1"/>
  <c r="G72" i="1" s="1"/>
  <c r="H72" i="1" s="1"/>
  <c r="G66" i="1" a="1"/>
  <c r="G66" i="1" s="1"/>
  <c r="I66" i="1" s="1"/>
  <c r="K66" i="1" s="1"/>
  <c r="G59" i="1" a="1"/>
  <c r="G59" i="1" s="1"/>
  <c r="H59" i="1" s="1"/>
  <c r="G53" i="1" a="1"/>
  <c r="G53" i="1" s="1"/>
  <c r="I53" i="1" s="1"/>
  <c r="K53" i="1" s="1"/>
  <c r="G40" i="1" a="1"/>
  <c r="G40" i="1" s="1"/>
  <c r="H40" i="1" s="1"/>
  <c r="G34" i="1" a="1"/>
  <c r="G34" i="1" s="1"/>
  <c r="I34" i="1" s="1"/>
  <c r="G27" i="1" a="1"/>
  <c r="G27" i="1" s="1"/>
  <c r="H27" i="1" s="1"/>
  <c r="G21" i="1" a="1"/>
  <c r="G21" i="1" s="1"/>
  <c r="H12" i="1"/>
  <c r="H161" i="1"/>
  <c r="I141" i="1"/>
  <c r="K141" i="1" s="1"/>
  <c r="H120" i="1"/>
  <c r="I85" i="1"/>
  <c r="K85" i="1" s="1"/>
  <c r="H33" i="1"/>
  <c r="H112" i="1"/>
  <c r="H55" i="1"/>
  <c r="I47" i="1"/>
  <c r="K47" i="1" s="1"/>
  <c r="H32" i="1"/>
  <c r="H25" i="1"/>
  <c r="I183" i="1"/>
  <c r="K183" i="1" s="1"/>
  <c r="I167" i="1"/>
  <c r="K167" i="1" s="1"/>
  <c r="H153" i="1"/>
  <c r="H97" i="1"/>
  <c r="I90" i="1"/>
  <c r="K90" i="1" s="1"/>
  <c r="I83" i="1"/>
  <c r="K83" i="1" s="1"/>
  <c r="H54" i="1"/>
  <c r="H24" i="1"/>
  <c r="I189" i="1"/>
  <c r="K189" i="1" s="1"/>
  <c r="H118" i="1"/>
  <c r="H89" i="1"/>
  <c r="H16" i="1"/>
  <c r="H8" i="1"/>
  <c r="J158" i="1"/>
  <c r="H151" i="1"/>
  <c r="I144" i="1"/>
  <c r="K144" i="1" s="1"/>
  <c r="I29" i="1"/>
  <c r="I23" i="1"/>
  <c r="J172" i="1"/>
  <c r="H129" i="1"/>
  <c r="H80" i="1"/>
  <c r="H65" i="1"/>
  <c r="H193" i="1"/>
  <c r="I149" i="1"/>
  <c r="K149" i="1" s="1"/>
  <c r="I135" i="1"/>
  <c r="K135" i="1" s="1"/>
  <c r="I122" i="1"/>
  <c r="K122" i="1" s="1"/>
  <c r="I93" i="1"/>
  <c r="K93" i="1" s="1"/>
  <c r="I87" i="1"/>
  <c r="K87" i="1" s="1"/>
  <c r="H64" i="1"/>
  <c r="H57" i="1"/>
  <c r="I50" i="1"/>
  <c r="K50" i="1" s="1"/>
  <c r="I21" i="1"/>
  <c r="I13" i="1"/>
  <c r="I199" i="1"/>
  <c r="K199" i="1" s="1"/>
  <c r="H178" i="1"/>
  <c r="I114" i="1"/>
  <c r="K114" i="1" s="1"/>
  <c r="H56" i="1"/>
  <c r="I20" i="1"/>
  <c r="J151" i="1"/>
  <c r="H175" i="1"/>
  <c r="J175" i="1"/>
  <c r="I175" i="1"/>
  <c r="K175" i="1" s="1"/>
  <c r="I190" i="1"/>
  <c r="K190" i="1" s="1"/>
  <c r="J190" i="1"/>
  <c r="I157" i="1"/>
  <c r="K157" i="1" s="1"/>
  <c r="J157" i="1"/>
  <c r="H157" i="1"/>
  <c r="H144" i="1"/>
  <c r="J144" i="1"/>
  <c r="H117" i="1"/>
  <c r="I81" i="1"/>
  <c r="K81" i="1" s="1"/>
  <c r="H182" i="1"/>
  <c r="I182" i="1"/>
  <c r="K182" i="1" s="1"/>
  <c r="J182" i="1"/>
  <c r="H94" i="1"/>
  <c r="I94" i="1"/>
  <c r="K94" i="1" s="1"/>
  <c r="J94" i="1"/>
  <c r="H87" i="1"/>
  <c r="H168" i="1"/>
  <c r="I134" i="1"/>
  <c r="K134" i="1" s="1"/>
  <c r="H121" i="1"/>
  <c r="J121" i="1"/>
  <c r="H170" i="1"/>
  <c r="H147" i="1"/>
  <c r="I147" i="1"/>
  <c r="K147" i="1" s="1"/>
  <c r="J147" i="1"/>
  <c r="J62" i="1"/>
  <c r="H51" i="1"/>
  <c r="I51" i="1"/>
  <c r="K51" i="1" s="1"/>
  <c r="J51" i="1"/>
  <c r="H192" i="1"/>
  <c r="I192" i="1"/>
  <c r="K192" i="1" s="1"/>
  <c r="J192" i="1"/>
  <c r="H140" i="1"/>
  <c r="I140" i="1"/>
  <c r="K140" i="1" s="1"/>
  <c r="H126" i="1"/>
  <c r="I126" i="1"/>
  <c r="K126" i="1" s="1"/>
  <c r="H104" i="1"/>
  <c r="I104" i="1"/>
  <c r="K104" i="1" s="1"/>
  <c r="J104" i="1"/>
  <c r="J47" i="1"/>
  <c r="I143" i="1"/>
  <c r="K143" i="1" s="1"/>
  <c r="I15" i="1"/>
  <c r="H111" i="1"/>
  <c r="J140" i="1"/>
  <c r="I119" i="1"/>
  <c r="K119" i="1" s="1"/>
  <c r="H185" i="1"/>
  <c r="I185" i="1"/>
  <c r="K185" i="1" s="1"/>
  <c r="H184" i="1"/>
  <c r="I184" i="1"/>
  <c r="K184" i="1" s="1"/>
  <c r="J184" i="1"/>
  <c r="H145" i="1"/>
  <c r="I118" i="1"/>
  <c r="K118" i="1" s="1"/>
  <c r="H23" i="1"/>
  <c r="I146" i="1"/>
  <c r="K146" i="1" s="1"/>
  <c r="H141" i="1"/>
  <c r="H77" i="1"/>
  <c r="H45" i="1"/>
  <c r="J39" i="1"/>
  <c r="H29" i="1"/>
  <c r="I18" i="1"/>
  <c r="H13" i="1"/>
  <c r="I148" i="1"/>
  <c r="K148" i="1" s="1"/>
  <c r="J129" i="1"/>
  <c r="J97" i="1"/>
  <c r="J89" i="1"/>
  <c r="I84" i="1"/>
  <c r="K84" i="1" s="1"/>
  <c r="I76" i="1"/>
  <c r="K76" i="1" s="1"/>
  <c r="J65" i="1"/>
  <c r="J33" i="1"/>
  <c r="I12" i="1"/>
  <c r="I129" i="1"/>
  <c r="K129" i="1" s="1"/>
  <c r="I97" i="1"/>
  <c r="K97" i="1" s="1"/>
  <c r="I89" i="1"/>
  <c r="K89" i="1" s="1"/>
  <c r="I65" i="1"/>
  <c r="K65" i="1" s="1"/>
  <c r="J54" i="1"/>
  <c r="I33" i="1"/>
  <c r="K33" i="1" s="1"/>
  <c r="I54" i="1"/>
  <c r="K54" i="1" s="1"/>
  <c r="J120" i="1"/>
  <c r="J80" i="1"/>
  <c r="J56" i="1"/>
  <c r="J48" i="1"/>
  <c r="J40" i="1"/>
  <c r="J141" i="1"/>
  <c r="I120" i="1"/>
  <c r="K120" i="1" s="1"/>
  <c r="I112" i="1"/>
  <c r="K112" i="1" s="1"/>
  <c r="I80" i="1"/>
  <c r="K80" i="1" s="1"/>
  <c r="J77" i="1"/>
  <c r="I64" i="1"/>
  <c r="K64" i="1" s="1"/>
  <c r="I56" i="1"/>
  <c r="K56" i="1" s="1"/>
  <c r="J53" i="1"/>
  <c r="I48" i="1"/>
  <c r="K48" i="1" s="1"/>
  <c r="I16" i="1"/>
  <c r="I8" i="1"/>
  <c r="A198" i="1" a="1"/>
  <c r="A198" i="1" s="1"/>
  <c r="A191" i="1" a="1"/>
  <c r="A191" i="1" s="1"/>
  <c r="A177" i="1" a="1"/>
  <c r="A177" i="1" s="1"/>
  <c r="A169" i="1" a="1"/>
  <c r="A169" i="1" s="1"/>
  <c r="A162" i="1" a="1"/>
  <c r="A162" i="1" s="1"/>
  <c r="A155" i="1" a="1"/>
  <c r="A155" i="1" s="1"/>
  <c r="C155" i="1" s="1"/>
  <c r="E155" i="1" s="1"/>
  <c r="A148" i="1" a="1"/>
  <c r="A148" i="1" s="1"/>
  <c r="C148" i="1" s="1"/>
  <c r="E148" i="1" s="1"/>
  <c r="A141" i="1" a="1"/>
  <c r="A141" i="1" s="1"/>
  <c r="C141" i="1" s="1"/>
  <c r="E141" i="1" s="1"/>
  <c r="A134" i="1" a="1"/>
  <c r="A134" i="1" s="1"/>
  <c r="A127" i="1" a="1"/>
  <c r="A127" i="1" s="1"/>
  <c r="A113" i="1" a="1"/>
  <c r="A113" i="1" s="1"/>
  <c r="A105" i="1" a="1"/>
  <c r="A105" i="1" s="1"/>
  <c r="A98" i="1" a="1"/>
  <c r="A98" i="1" s="1"/>
  <c r="A91" i="1" a="1"/>
  <c r="A91" i="1" s="1"/>
  <c r="C91" i="1" s="1"/>
  <c r="E91" i="1" s="1"/>
  <c r="A84" i="1" a="1"/>
  <c r="A84" i="1" s="1"/>
  <c r="C84" i="1" s="1"/>
  <c r="E84" i="1" s="1"/>
  <c r="A77" i="1" a="1"/>
  <c r="A77" i="1" s="1"/>
  <c r="C77" i="1" s="1"/>
  <c r="E77" i="1" s="1"/>
  <c r="A71" i="1" a="1"/>
  <c r="A71" i="1" s="1"/>
  <c r="A56" i="1" a="1"/>
  <c r="A56" i="1" s="1"/>
  <c r="A50" i="1" a="1"/>
  <c r="A50" i="1" s="1"/>
  <c r="A42" i="1" a="1"/>
  <c r="A42" i="1" s="1"/>
  <c r="A35" i="1" a="1"/>
  <c r="A35" i="1" s="1"/>
  <c r="C35" i="1" s="1"/>
  <c r="A28" i="1" a="1"/>
  <c r="A28" i="1" s="1"/>
  <c r="C28" i="1" s="1"/>
  <c r="A21" i="1" a="1"/>
  <c r="A21" i="1" s="1"/>
  <c r="C21" i="1" s="1"/>
  <c r="A14" i="1" a="1"/>
  <c r="A14" i="1" s="1"/>
  <c r="A163" i="1" a="1"/>
  <c r="A163" i="1" s="1"/>
  <c r="C163" i="1" s="1"/>
  <c r="E163" i="1" s="1"/>
  <c r="A106" i="1" a="1"/>
  <c r="A106" i="1" s="1"/>
  <c r="A64" i="1" a="1"/>
  <c r="A64" i="1" s="1"/>
  <c r="C64" i="1" s="1"/>
  <c r="E64" i="1" s="1"/>
  <c r="A43" i="1" a="1"/>
  <c r="A43" i="1" s="1"/>
  <c r="C43" i="1" s="1"/>
  <c r="A197" i="1" a="1"/>
  <c r="A197" i="1" s="1"/>
  <c r="C197" i="1" s="1"/>
  <c r="E197" i="1" s="1"/>
  <c r="A190" i="1" a="1"/>
  <c r="A190" i="1" s="1"/>
  <c r="B190" i="1" s="1"/>
  <c r="A183" i="1" a="1"/>
  <c r="A183" i="1" s="1"/>
  <c r="A176" i="1" a="1"/>
  <c r="A176" i="1" s="1"/>
  <c r="B176" i="1" s="1"/>
  <c r="A168" i="1" a="1"/>
  <c r="A168" i="1" s="1"/>
  <c r="B168" i="1" s="1"/>
  <c r="A161" i="1" a="1"/>
  <c r="A161" i="1" s="1"/>
  <c r="A154" i="1" a="1"/>
  <c r="A154" i="1" s="1"/>
  <c r="A140" i="1" a="1"/>
  <c r="A140" i="1" s="1"/>
  <c r="B140" i="1" s="1"/>
  <c r="A133" i="1" a="1"/>
  <c r="A133" i="1" s="1"/>
  <c r="C133" i="1" s="1"/>
  <c r="E133" i="1" s="1"/>
  <c r="A126" i="1" a="1"/>
  <c r="A126" i="1" s="1"/>
  <c r="B126" i="1" s="1"/>
  <c r="A119" i="1" a="1"/>
  <c r="A119" i="1" s="1"/>
  <c r="A112" i="1" a="1"/>
  <c r="A112" i="1" s="1"/>
  <c r="B112" i="1" s="1"/>
  <c r="A104" i="1" a="1"/>
  <c r="A104" i="1" s="1"/>
  <c r="B104" i="1" s="1"/>
  <c r="A97" i="1" a="1"/>
  <c r="A97" i="1" s="1"/>
  <c r="A90" i="1" a="1"/>
  <c r="A90" i="1" s="1"/>
  <c r="A76" i="1" a="1"/>
  <c r="A76" i="1" s="1"/>
  <c r="B76" i="1" s="1"/>
  <c r="A70" i="1" a="1"/>
  <c r="A70" i="1" s="1"/>
  <c r="A63" i="1" a="1"/>
  <c r="A63" i="1" s="1"/>
  <c r="A49" i="1" a="1"/>
  <c r="A49" i="1" s="1"/>
  <c r="A41" i="1" a="1"/>
  <c r="A41" i="1" s="1"/>
  <c r="A34" i="1" a="1"/>
  <c r="A34" i="1" s="1"/>
  <c r="A27" i="1" a="1"/>
  <c r="A27" i="1" s="1"/>
  <c r="A20" i="1" a="1"/>
  <c r="A20" i="1" s="1"/>
  <c r="C20" i="1" s="1"/>
  <c r="A13" i="1" a="1"/>
  <c r="A13" i="1" s="1"/>
  <c r="C13" i="1" s="1"/>
  <c r="A178" i="1" a="1"/>
  <c r="A178" i="1" s="1"/>
  <c r="A135" i="1" a="1"/>
  <c r="A135" i="1" s="1"/>
  <c r="A92" i="1" a="1"/>
  <c r="A92" i="1" s="1"/>
  <c r="C92" i="1" s="1"/>
  <c r="E92" i="1" s="1"/>
  <c r="A51" i="1" a="1"/>
  <c r="A51" i="1" s="1"/>
  <c r="C51" i="1" s="1"/>
  <c r="E51" i="1" s="1"/>
  <c r="A196" i="1" a="1"/>
  <c r="A196" i="1" s="1"/>
  <c r="C196" i="1" s="1"/>
  <c r="E196" i="1" s="1"/>
  <c r="A189" i="1" a="1"/>
  <c r="A189" i="1" s="1"/>
  <c r="A182" i="1" a="1"/>
  <c r="A182" i="1" s="1"/>
  <c r="B182" i="1" s="1"/>
  <c r="A175" i="1" a="1"/>
  <c r="A175" i="1" s="1"/>
  <c r="B175" i="1" s="1"/>
  <c r="A160" i="1" a="1"/>
  <c r="A160" i="1" s="1"/>
  <c r="C160" i="1" s="1"/>
  <c r="E160" i="1" s="1"/>
  <c r="A153" i="1" a="1"/>
  <c r="A153" i="1" s="1"/>
  <c r="A147" i="1" a="1"/>
  <c r="A147" i="1" s="1"/>
  <c r="C147" i="1" s="1"/>
  <c r="E147" i="1" s="1"/>
  <c r="A139" i="1" a="1"/>
  <c r="A139" i="1" s="1"/>
  <c r="C139" i="1" s="1"/>
  <c r="E139" i="1" s="1"/>
  <c r="A132" i="1" a="1"/>
  <c r="A132" i="1" s="1"/>
  <c r="C132" i="1" s="1"/>
  <c r="E132" i="1" s="1"/>
  <c r="A125" i="1" a="1"/>
  <c r="A125" i="1" s="1"/>
  <c r="A118" i="1" a="1"/>
  <c r="A118" i="1" s="1"/>
  <c r="B118" i="1" s="1"/>
  <c r="A111" i="1" a="1"/>
  <c r="A111" i="1" s="1"/>
  <c r="B111" i="1" s="1"/>
  <c r="A96" i="1" a="1"/>
  <c r="A96" i="1" s="1"/>
  <c r="C96" i="1" s="1"/>
  <c r="E96" i="1" s="1"/>
  <c r="A89" i="1" a="1"/>
  <c r="A89" i="1" s="1"/>
  <c r="A83" i="1" a="1"/>
  <c r="A83" i="1" s="1"/>
  <c r="C83" i="1" s="1"/>
  <c r="E83" i="1" s="1"/>
  <c r="A69" i="1" a="1"/>
  <c r="A69" i="1" s="1"/>
  <c r="C69" i="1" s="1"/>
  <c r="E69" i="1" s="1"/>
  <c r="A62" i="1" a="1"/>
  <c r="A62" i="1" s="1"/>
  <c r="B62" i="1" s="1"/>
  <c r="A55" i="1" a="1"/>
  <c r="A55" i="1" s="1"/>
  <c r="A48" i="1" a="1"/>
  <c r="A48" i="1" s="1"/>
  <c r="B48" i="1" s="1"/>
  <c r="A40" i="1" a="1"/>
  <c r="A40" i="1" s="1"/>
  <c r="B40" i="1" s="1"/>
  <c r="A33" i="1" a="1"/>
  <c r="A33" i="1" s="1"/>
  <c r="A26" i="1" a="1"/>
  <c r="A26" i="1" s="1"/>
  <c r="A12" i="1" a="1"/>
  <c r="A12" i="1" s="1"/>
  <c r="B12" i="1" s="1"/>
  <c r="A170" i="1" a="1"/>
  <c r="A170" i="1" s="1"/>
  <c r="A120" i="1" a="1"/>
  <c r="A120" i="1" s="1"/>
  <c r="C120" i="1" s="1"/>
  <c r="E120" i="1" s="1"/>
  <c r="A78" i="1" a="1"/>
  <c r="A78" i="1" s="1"/>
  <c r="A36" i="1" a="1"/>
  <c r="A36" i="1" s="1"/>
  <c r="C36" i="1" s="1"/>
  <c r="A195" i="1" a="1"/>
  <c r="A195" i="1" s="1"/>
  <c r="C195" i="1" s="1"/>
  <c r="E195" i="1" s="1"/>
  <c r="A188" i="1" a="1"/>
  <c r="A188" i="1" s="1"/>
  <c r="C188" i="1" s="1"/>
  <c r="E188" i="1" s="1"/>
  <c r="A181" i="1" a="1"/>
  <c r="A181" i="1" s="1"/>
  <c r="C181" i="1" s="1"/>
  <c r="E181" i="1" s="1"/>
  <c r="A174" i="1" a="1"/>
  <c r="A174" i="1" s="1"/>
  <c r="A167" i="1" a="1"/>
  <c r="A167" i="1" s="1"/>
  <c r="A152" i="1" a="1"/>
  <c r="A152" i="1" s="1"/>
  <c r="C152" i="1" s="1"/>
  <c r="E152" i="1" s="1"/>
  <c r="A146" i="1" a="1"/>
  <c r="A146" i="1" s="1"/>
  <c r="A138" i="1" a="1"/>
  <c r="A138" i="1" s="1"/>
  <c r="A131" i="1" a="1"/>
  <c r="A131" i="1" s="1"/>
  <c r="C131" i="1" s="1"/>
  <c r="E131" i="1" s="1"/>
  <c r="A124" i="1" a="1"/>
  <c r="A124" i="1" s="1"/>
  <c r="C124" i="1" s="1"/>
  <c r="E124" i="1" s="1"/>
  <c r="A117" i="1" a="1"/>
  <c r="A117" i="1" s="1"/>
  <c r="C117" i="1" s="1"/>
  <c r="E117" i="1" s="1"/>
  <c r="A110" i="1" a="1"/>
  <c r="A110" i="1" s="1"/>
  <c r="A103" i="1" a="1"/>
  <c r="A103" i="1" s="1"/>
  <c r="A88" i="1" a="1"/>
  <c r="A88" i="1" s="1"/>
  <c r="C88" i="1" s="1"/>
  <c r="E88" i="1" s="1"/>
  <c r="A82" i="1" a="1"/>
  <c r="A82" i="1" s="1"/>
  <c r="A75" i="1" a="1"/>
  <c r="A75" i="1" s="1"/>
  <c r="C75" i="1" s="1"/>
  <c r="E75" i="1" s="1"/>
  <c r="A68" i="1" a="1"/>
  <c r="A68" i="1" s="1"/>
  <c r="C68" i="1" s="1"/>
  <c r="E68" i="1" s="1"/>
  <c r="A61" i="1" a="1"/>
  <c r="A61" i="1" s="1"/>
  <c r="C61" i="1" s="1"/>
  <c r="E61" i="1" s="1"/>
  <c r="A54" i="1" a="1"/>
  <c r="A54" i="1" s="1"/>
  <c r="B54" i="1" s="1"/>
  <c r="A47" i="1" a="1"/>
  <c r="A47" i="1" s="1"/>
  <c r="B47" i="1" s="1"/>
  <c r="A32" i="1" a="1"/>
  <c r="A32" i="1" s="1"/>
  <c r="C32" i="1" s="1"/>
  <c r="A25" i="1" a="1"/>
  <c r="A25" i="1" s="1"/>
  <c r="A19" i="1" a="1"/>
  <c r="A19" i="1" s="1"/>
  <c r="A11" i="1" a="1"/>
  <c r="A11" i="1" s="1"/>
  <c r="C11" i="1" s="1"/>
  <c r="A184" i="1" a="1"/>
  <c r="A184" i="1" s="1"/>
  <c r="C184" i="1" s="1"/>
  <c r="E184" i="1" s="1"/>
  <c r="A142" i="1" a="1"/>
  <c r="A142" i="1" s="1"/>
  <c r="A99" i="1" a="1"/>
  <c r="A99" i="1" s="1"/>
  <c r="C99" i="1" s="1"/>
  <c r="E99" i="1" s="1"/>
  <c r="A29" i="1" a="1"/>
  <c r="A29" i="1" s="1"/>
  <c r="C29" i="1" s="1"/>
  <c r="A7" i="1" a="1"/>
  <c r="A7" i="1" s="1"/>
  <c r="C7" i="1" s="1"/>
  <c r="A194" i="1" a="1"/>
  <c r="A194" i="1" s="1"/>
  <c r="A187" i="1" a="1"/>
  <c r="A187" i="1" s="1"/>
  <c r="C187" i="1" s="1"/>
  <c r="E187" i="1" s="1"/>
  <c r="A180" i="1" a="1"/>
  <c r="A180" i="1" s="1"/>
  <c r="C180" i="1" s="1"/>
  <c r="E180" i="1" s="1"/>
  <c r="A173" i="1" a="1"/>
  <c r="A173" i="1" s="1"/>
  <c r="C173" i="1" s="1"/>
  <c r="E173" i="1" s="1"/>
  <c r="A166" i="1" a="1"/>
  <c r="A166" i="1" s="1"/>
  <c r="A159" i="1" a="1"/>
  <c r="A159" i="1" s="1"/>
  <c r="A145" i="1" a="1"/>
  <c r="A145" i="1" s="1"/>
  <c r="A137" i="1" a="1"/>
  <c r="A137" i="1" s="1"/>
  <c r="A130" i="1" a="1"/>
  <c r="A130" i="1" s="1"/>
  <c r="A123" i="1" a="1"/>
  <c r="A123" i="1" s="1"/>
  <c r="A116" i="1" a="1"/>
  <c r="A116" i="1" s="1"/>
  <c r="C116" i="1" s="1"/>
  <c r="E116" i="1" s="1"/>
  <c r="A109" i="1" a="1"/>
  <c r="A109" i="1" s="1"/>
  <c r="C109" i="1" s="1"/>
  <c r="E109" i="1" s="1"/>
  <c r="A102" i="1" a="1"/>
  <c r="A102" i="1" s="1"/>
  <c r="A95" i="1" a="1"/>
  <c r="A95" i="1" s="1"/>
  <c r="A81" i="1" a="1"/>
  <c r="A81" i="1" s="1"/>
  <c r="A74" i="1" a="1"/>
  <c r="A74" i="1" s="1"/>
  <c r="A67" i="1" a="1"/>
  <c r="A67" i="1" s="1"/>
  <c r="C67" i="1" s="1"/>
  <c r="E67" i="1" s="1"/>
  <c r="A60" i="1" a="1"/>
  <c r="A60" i="1" s="1"/>
  <c r="A53" i="1" a="1"/>
  <c r="A53" i="1" s="1"/>
  <c r="C53" i="1" s="1"/>
  <c r="E53" i="1" s="1"/>
  <c r="A46" i="1" a="1"/>
  <c r="A46" i="1" s="1"/>
  <c r="A39" i="1" a="1"/>
  <c r="A39" i="1" s="1"/>
  <c r="A24" i="1" a="1"/>
  <c r="A24" i="1" s="1"/>
  <c r="C24" i="1" s="1"/>
  <c r="A18" i="1" a="1"/>
  <c r="A18" i="1" s="1"/>
  <c r="A10" i="1" a="1"/>
  <c r="A10" i="1" s="1"/>
  <c r="A199" i="1" a="1"/>
  <c r="A199" i="1" s="1"/>
  <c r="B199" i="1" s="1"/>
  <c r="A156" i="1" a="1"/>
  <c r="A156" i="1" s="1"/>
  <c r="C156" i="1" s="1"/>
  <c r="E156" i="1" s="1"/>
  <c r="A114" i="1" a="1"/>
  <c r="A114" i="1" s="1"/>
  <c r="A57" i="1" a="1"/>
  <c r="A57" i="1" s="1"/>
  <c r="A15" i="1" a="1"/>
  <c r="A15" i="1" s="1"/>
  <c r="A200" i="1" a="1"/>
  <c r="A200" i="1" s="1"/>
  <c r="B200" i="1" s="1"/>
  <c r="A193" i="1" a="1"/>
  <c r="A193" i="1" s="1"/>
  <c r="B193" i="1" s="1"/>
  <c r="A186" i="1" a="1"/>
  <c r="A186" i="1" s="1"/>
  <c r="A172" i="1" a="1"/>
  <c r="A172" i="1" s="1"/>
  <c r="C172" i="1" s="1"/>
  <c r="E172" i="1" s="1"/>
  <c r="A165" i="1" a="1"/>
  <c r="A165" i="1" s="1"/>
  <c r="A158" i="1" a="1"/>
  <c r="A158" i="1" s="1"/>
  <c r="A151" i="1" a="1"/>
  <c r="A151" i="1" s="1"/>
  <c r="B151" i="1" s="1"/>
  <c r="A144" i="1" a="1"/>
  <c r="A144" i="1" s="1"/>
  <c r="C144" i="1" s="1"/>
  <c r="E144" i="1" s="1"/>
  <c r="A136" i="1" a="1"/>
  <c r="A136" i="1" s="1"/>
  <c r="B136" i="1" s="1"/>
  <c r="A129" i="1" a="1"/>
  <c r="A129" i="1" s="1"/>
  <c r="A122" i="1" a="1"/>
  <c r="A122" i="1" s="1"/>
  <c r="A108" i="1" a="1"/>
  <c r="A108" i="1" s="1"/>
  <c r="C108" i="1" s="1"/>
  <c r="E108" i="1" s="1"/>
  <c r="A101" i="1" a="1"/>
  <c r="A101" i="1" s="1"/>
  <c r="A94" i="1" a="1"/>
  <c r="A94" i="1" s="1"/>
  <c r="A87" i="1" a="1"/>
  <c r="A87" i="1" s="1"/>
  <c r="B87" i="1" s="1"/>
  <c r="A80" i="1" a="1"/>
  <c r="A80" i="1" s="1"/>
  <c r="C80" i="1" s="1"/>
  <c r="E80" i="1" s="1"/>
  <c r="A73" i="1" a="1"/>
  <c r="A73" i="1" s="1"/>
  <c r="A66" i="1" a="1"/>
  <c r="A66" i="1" s="1"/>
  <c r="A59" i="1" a="1"/>
  <c r="A59" i="1" s="1"/>
  <c r="C59" i="1" s="1"/>
  <c r="E59" i="1" s="1"/>
  <c r="A52" i="1" a="1"/>
  <c r="A52" i="1" s="1"/>
  <c r="C52" i="1" s="1"/>
  <c r="E52" i="1" s="1"/>
  <c r="A45" i="1" a="1"/>
  <c r="A45" i="1" s="1"/>
  <c r="A38" i="1" a="1"/>
  <c r="A38" i="1" s="1"/>
  <c r="A31" i="1" a="1"/>
  <c r="A31" i="1" s="1"/>
  <c r="A17" i="1" a="1"/>
  <c r="A17" i="1" s="1"/>
  <c r="A9" i="1" a="1"/>
  <c r="A9" i="1" s="1"/>
  <c r="A149" i="1" a="1"/>
  <c r="A149" i="1" s="1"/>
  <c r="C149" i="1" s="1"/>
  <c r="E149" i="1" s="1"/>
  <c r="A85" i="1" a="1"/>
  <c r="A85" i="1" s="1"/>
  <c r="C85" i="1" s="1"/>
  <c r="E85" i="1" s="1"/>
  <c r="A22" i="1" a="1"/>
  <c r="A22" i="1" s="1"/>
  <c r="A192" i="1" a="1"/>
  <c r="A192" i="1" s="1"/>
  <c r="C192" i="1" s="1"/>
  <c r="E192" i="1" s="1"/>
  <c r="A185" i="1" a="1"/>
  <c r="A185" i="1" s="1"/>
  <c r="A179" i="1" a="1"/>
  <c r="A179" i="1" s="1"/>
  <c r="C179" i="1" s="1"/>
  <c r="E179" i="1" s="1"/>
  <c r="A171" i="1" a="1"/>
  <c r="A171" i="1" s="1"/>
  <c r="C171" i="1" s="1"/>
  <c r="E171" i="1" s="1"/>
  <c r="A164" i="1" a="1"/>
  <c r="A164" i="1" s="1"/>
  <c r="C164" i="1" s="1"/>
  <c r="E164" i="1" s="1"/>
  <c r="A157" i="1" a="1"/>
  <c r="A157" i="1" s="1"/>
  <c r="C157" i="1" s="1"/>
  <c r="E157" i="1" s="1"/>
  <c r="A150" i="1" a="1"/>
  <c r="A150" i="1" s="1"/>
  <c r="B150" i="1" s="1"/>
  <c r="A143" i="1" a="1"/>
  <c r="A143" i="1" s="1"/>
  <c r="B143" i="1" s="1"/>
  <c r="A128" i="1" a="1"/>
  <c r="A128" i="1" s="1"/>
  <c r="C128" i="1" s="1"/>
  <c r="E128" i="1" s="1"/>
  <c r="A121" i="1" a="1"/>
  <c r="A121" i="1" s="1"/>
  <c r="A115" i="1" a="1"/>
  <c r="A115" i="1" s="1"/>
  <c r="C115" i="1" s="1"/>
  <c r="E115" i="1" s="1"/>
  <c r="A107" i="1" a="1"/>
  <c r="A107" i="1" s="1"/>
  <c r="C107" i="1" s="1"/>
  <c r="E107" i="1" s="1"/>
  <c r="A100" i="1" a="1"/>
  <c r="A100" i="1" s="1"/>
  <c r="C100" i="1" s="1"/>
  <c r="E100" i="1" s="1"/>
  <c r="A93" i="1" a="1"/>
  <c r="A93" i="1" s="1"/>
  <c r="C93" i="1" s="1"/>
  <c r="E93" i="1" s="1"/>
  <c r="A86" i="1" a="1"/>
  <c r="A86" i="1" s="1"/>
  <c r="B86" i="1" s="1"/>
  <c r="A79" i="1" a="1"/>
  <c r="A79" i="1" s="1"/>
  <c r="B79" i="1" s="1"/>
  <c r="A72" i="1" a="1"/>
  <c r="A72" i="1" s="1"/>
  <c r="B72" i="1" s="1"/>
  <c r="A65" i="1" a="1"/>
  <c r="A65" i="1" s="1"/>
  <c r="A58" i="1" a="1"/>
  <c r="A58" i="1" s="1"/>
  <c r="A44" i="1" a="1"/>
  <c r="A44" i="1" s="1"/>
  <c r="C44" i="1" s="1"/>
  <c r="A37" i="1" a="1"/>
  <c r="A37" i="1" s="1"/>
  <c r="C37" i="1" s="1"/>
  <c r="A30" i="1" a="1"/>
  <c r="A30" i="1" s="1"/>
  <c r="A23" i="1" a="1"/>
  <c r="A23" i="1" s="1"/>
  <c r="A16" i="1" a="1"/>
  <c r="A16" i="1" s="1"/>
  <c r="C16" i="1" s="1"/>
  <c r="C8" i="1"/>
  <c r="C101" i="1"/>
  <c r="E101" i="1" s="1"/>
  <c r="C19" i="1"/>
  <c r="C123" i="1"/>
  <c r="E123" i="1" s="1"/>
  <c r="C125" i="1"/>
  <c r="E125" i="1" s="1"/>
  <c r="B189" i="1"/>
  <c r="C165" i="1"/>
  <c r="E165" i="1" s="1"/>
  <c r="C56" i="1"/>
  <c r="E56" i="1" s="1"/>
  <c r="C45" i="1"/>
  <c r="C60" i="1"/>
  <c r="E60" i="1" s="1"/>
  <c r="C27" i="1"/>
  <c r="I67" i="1" l="1"/>
  <c r="K67" i="1" s="1"/>
  <c r="J173" i="1"/>
  <c r="J200" i="1"/>
  <c r="H130" i="1"/>
  <c r="J142" i="1"/>
  <c r="H67" i="1"/>
  <c r="I200" i="1"/>
  <c r="K200" i="1" s="1"/>
  <c r="I142" i="1"/>
  <c r="K142" i="1" s="1"/>
  <c r="I156" i="1"/>
  <c r="K156" i="1" s="1"/>
  <c r="J187" i="1"/>
  <c r="J17" i="1"/>
  <c r="K17" i="1" s="1"/>
  <c r="J109" i="1"/>
  <c r="H109" i="1"/>
  <c r="I68" i="1"/>
  <c r="K68" i="1" s="1"/>
  <c r="H173" i="1"/>
  <c r="I127" i="1"/>
  <c r="K127" i="1" s="1"/>
  <c r="J127" i="1"/>
  <c r="I187" i="1"/>
  <c r="K187" i="1" s="1"/>
  <c r="J30" i="1"/>
  <c r="J12" i="1"/>
  <c r="J13" i="1"/>
  <c r="J16" i="1"/>
  <c r="I145" i="1"/>
  <c r="K145" i="1" s="1"/>
  <c r="H75" i="1"/>
  <c r="H17" i="1"/>
  <c r="J107" i="1"/>
  <c r="I70" i="1"/>
  <c r="K70" i="1" s="1"/>
  <c r="J138" i="1"/>
  <c r="H133" i="1"/>
  <c r="I124" i="1"/>
  <c r="K124" i="1" s="1"/>
  <c r="J110" i="1"/>
  <c r="J8" i="1"/>
  <c r="K8" i="1" s="1"/>
  <c r="J61" i="1"/>
  <c r="I128" i="1"/>
  <c r="K128" i="1" s="1"/>
  <c r="I130" i="1"/>
  <c r="K130" i="1" s="1"/>
  <c r="I197" i="1"/>
  <c r="K197" i="1" s="1"/>
  <c r="J88" i="1"/>
  <c r="H61" i="1"/>
  <c r="J150" i="1"/>
  <c r="J169" i="1"/>
  <c r="H73" i="1"/>
  <c r="H150" i="1"/>
  <c r="H88" i="1"/>
  <c r="H110" i="1"/>
  <c r="I27" i="1"/>
  <c r="J128" i="1"/>
  <c r="H35" i="1"/>
  <c r="H22" i="1"/>
  <c r="J27" i="1"/>
  <c r="J139" i="1"/>
  <c r="J166" i="1"/>
  <c r="I35" i="1"/>
  <c r="K35" i="1" s="1"/>
  <c r="J197" i="1"/>
  <c r="J188" i="1"/>
  <c r="H81" i="1"/>
  <c r="J124" i="1"/>
  <c r="J70" i="1"/>
  <c r="J9" i="1"/>
  <c r="H131" i="1"/>
  <c r="I139" i="1"/>
  <c r="K139" i="1" s="1"/>
  <c r="J119" i="1"/>
  <c r="I166" i="1"/>
  <c r="K166" i="1" s="1"/>
  <c r="J11" i="1"/>
  <c r="J143" i="1"/>
  <c r="I107" i="1"/>
  <c r="K107" i="1" s="1"/>
  <c r="I188" i="1"/>
  <c r="K188" i="1" s="1"/>
  <c r="I45" i="1"/>
  <c r="K45" i="1" s="1"/>
  <c r="H105" i="1"/>
  <c r="I11" i="1"/>
  <c r="J198" i="1"/>
  <c r="H9" i="1"/>
  <c r="J55" i="1"/>
  <c r="I176" i="1"/>
  <c r="K176" i="1" s="1"/>
  <c r="J133" i="1"/>
  <c r="I170" i="1"/>
  <c r="K170" i="1" s="1"/>
  <c r="J163" i="1"/>
  <c r="J105" i="1"/>
  <c r="J75" i="1"/>
  <c r="J168" i="1"/>
  <c r="I169" i="1"/>
  <c r="K169" i="1" s="1"/>
  <c r="I163" i="1"/>
  <c r="K163" i="1" s="1"/>
  <c r="H100" i="1"/>
  <c r="I32" i="1"/>
  <c r="K32" i="1" s="1"/>
  <c r="J162" i="1"/>
  <c r="H156" i="1"/>
  <c r="H63" i="1"/>
  <c r="H83" i="1"/>
  <c r="H53" i="1"/>
  <c r="H134" i="1"/>
  <c r="I174" i="1"/>
  <c r="K174" i="1" s="1"/>
  <c r="J111" i="1"/>
  <c r="I194" i="1"/>
  <c r="K194" i="1" s="1"/>
  <c r="H79" i="1"/>
  <c r="I46" i="1"/>
  <c r="K46" i="1" s="1"/>
  <c r="I30" i="1"/>
  <c r="J117" i="1"/>
  <c r="I40" i="1"/>
  <c r="K40" i="1" s="1"/>
  <c r="H91" i="1"/>
  <c r="H181" i="1"/>
  <c r="J123" i="1"/>
  <c r="J96" i="1"/>
  <c r="J59" i="1"/>
  <c r="H199" i="1"/>
  <c r="I113" i="1"/>
  <c r="K113" i="1" s="1"/>
  <c r="J181" i="1"/>
  <c r="H123" i="1"/>
  <c r="J177" i="1"/>
  <c r="J112" i="1"/>
  <c r="I193" i="1"/>
  <c r="K193" i="1" s="1"/>
  <c r="I79" i="1"/>
  <c r="K79" i="1" s="1"/>
  <c r="H113" i="1"/>
  <c r="J176" i="1"/>
  <c r="H177" i="1"/>
  <c r="J183" i="1"/>
  <c r="I159" i="1"/>
  <c r="K159" i="1" s="1"/>
  <c r="I161" i="1"/>
  <c r="K161" i="1" s="1"/>
  <c r="H135" i="1"/>
  <c r="J186" i="1"/>
  <c r="J31" i="1"/>
  <c r="H159" i="1"/>
  <c r="I160" i="1"/>
  <c r="K160" i="1" s="1"/>
  <c r="J179" i="1"/>
  <c r="J63" i="1"/>
  <c r="I198" i="1"/>
  <c r="K198" i="1" s="1"/>
  <c r="J93" i="1"/>
  <c r="J193" i="1"/>
  <c r="H69" i="1"/>
  <c r="I138" i="1"/>
  <c r="K138" i="1" s="1"/>
  <c r="J100" i="1"/>
  <c r="H189" i="1"/>
  <c r="I49" i="1"/>
  <c r="K49" i="1" s="1"/>
  <c r="J135" i="1"/>
  <c r="I196" i="1"/>
  <c r="K196" i="1" s="1"/>
  <c r="J189" i="1"/>
  <c r="J195" i="1"/>
  <c r="J137" i="1"/>
  <c r="H196" i="1"/>
  <c r="J21" i="1"/>
  <c r="J14" i="1"/>
  <c r="J78" i="1"/>
  <c r="I62" i="1"/>
  <c r="K62" i="1" s="1"/>
  <c r="J136" i="1"/>
  <c r="H149" i="1"/>
  <c r="I195" i="1"/>
  <c r="K195" i="1" s="1"/>
  <c r="I137" i="1"/>
  <c r="K137" i="1" s="1"/>
  <c r="J22" i="1"/>
  <c r="J86" i="1"/>
  <c r="J174" i="1"/>
  <c r="J118" i="1"/>
  <c r="H68" i="1"/>
  <c r="J199" i="1"/>
  <c r="J72" i="1"/>
  <c r="J154" i="1"/>
  <c r="I136" i="1"/>
  <c r="K136" i="1" s="1"/>
  <c r="J149" i="1"/>
  <c r="H125" i="1"/>
  <c r="I151" i="1"/>
  <c r="K151" i="1" s="1"/>
  <c r="J69" i="1"/>
  <c r="I78" i="1"/>
  <c r="K78" i="1" s="1"/>
  <c r="H21" i="1"/>
  <c r="J131" i="1"/>
  <c r="J191" i="1"/>
  <c r="I132" i="1"/>
  <c r="K132" i="1" s="1"/>
  <c r="I72" i="1"/>
  <c r="K72" i="1" s="1"/>
  <c r="J15" i="1"/>
  <c r="J125" i="1"/>
  <c r="I59" i="1"/>
  <c r="K59" i="1" s="1"/>
  <c r="I14" i="1"/>
  <c r="I86" i="1"/>
  <c r="K86" i="1" s="1"/>
  <c r="J46" i="1"/>
  <c r="J73" i="1"/>
  <c r="H93" i="1"/>
  <c r="J23" i="1"/>
  <c r="K23" i="1" s="1"/>
  <c r="I158" i="1"/>
  <c r="K158" i="1" s="1"/>
  <c r="H162" i="1"/>
  <c r="H191" i="1"/>
  <c r="H132" i="1"/>
  <c r="J194" i="1"/>
  <c r="H30" i="1"/>
  <c r="H158" i="1"/>
  <c r="J153" i="1"/>
  <c r="I95" i="1"/>
  <c r="K95" i="1" s="1"/>
  <c r="I164" i="1"/>
  <c r="K164" i="1" s="1"/>
  <c r="I153" i="1"/>
  <c r="K153" i="1" s="1"/>
  <c r="H171" i="1"/>
  <c r="H101" i="1"/>
  <c r="H164" i="1"/>
  <c r="J19" i="1"/>
  <c r="H85" i="1"/>
  <c r="I36" i="1"/>
  <c r="K36" i="1" s="1"/>
  <c r="I24" i="1"/>
  <c r="J152" i="1"/>
  <c r="I178" i="1"/>
  <c r="K178" i="1" s="1"/>
  <c r="I19" i="1"/>
  <c r="J85" i="1"/>
  <c r="H36" i="1"/>
  <c r="H95" i="1"/>
  <c r="I96" i="1"/>
  <c r="K96" i="1" s="1"/>
  <c r="I152" i="1"/>
  <c r="K152" i="1" s="1"/>
  <c r="I25" i="1"/>
  <c r="H37" i="1"/>
  <c r="J101" i="1"/>
  <c r="J41" i="1"/>
  <c r="J178" i="1"/>
  <c r="J87" i="1"/>
  <c r="J155" i="1"/>
  <c r="I41" i="1"/>
  <c r="K41" i="1" s="1"/>
  <c r="J91" i="1"/>
  <c r="I155" i="1"/>
  <c r="K155" i="1" s="1"/>
  <c r="J83" i="1"/>
  <c r="J37" i="1"/>
  <c r="J24" i="1"/>
  <c r="I154" i="1"/>
  <c r="K154" i="1" s="1"/>
  <c r="J165" i="1"/>
  <c r="J98" i="1"/>
  <c r="I186" i="1"/>
  <c r="K186" i="1" s="1"/>
  <c r="J160" i="1"/>
  <c r="J49" i="1"/>
  <c r="J106" i="1"/>
  <c r="H106" i="1"/>
  <c r="J50" i="1"/>
  <c r="H50" i="1"/>
  <c r="J114" i="1"/>
  <c r="H114" i="1"/>
  <c r="J122" i="1"/>
  <c r="H122" i="1"/>
  <c r="H103" i="1"/>
  <c r="I103" i="1"/>
  <c r="K103" i="1" s="1"/>
  <c r="J26" i="1"/>
  <c r="K26" i="1" s="1"/>
  <c r="H26" i="1"/>
  <c r="J161" i="1"/>
  <c r="H98" i="1"/>
  <c r="H31" i="1"/>
  <c r="J43" i="1"/>
  <c r="I179" i="1"/>
  <c r="K179" i="1" s="1"/>
  <c r="H116" i="1"/>
  <c r="J116" i="1"/>
  <c r="H180" i="1"/>
  <c r="J180" i="1"/>
  <c r="H52" i="1"/>
  <c r="J52" i="1"/>
  <c r="H39" i="1"/>
  <c r="I39" i="1"/>
  <c r="K39" i="1" s="1"/>
  <c r="H108" i="1"/>
  <c r="J108" i="1"/>
  <c r="J90" i="1"/>
  <c r="H90" i="1"/>
  <c r="I57" i="1"/>
  <c r="K57" i="1" s="1"/>
  <c r="J102" i="1"/>
  <c r="J167" i="1"/>
  <c r="I43" i="1"/>
  <c r="K43" i="1" s="1"/>
  <c r="J58" i="1"/>
  <c r="H58" i="1"/>
  <c r="I172" i="1"/>
  <c r="K172" i="1" s="1"/>
  <c r="H71" i="1"/>
  <c r="I71" i="1"/>
  <c r="K71" i="1" s="1"/>
  <c r="J66" i="1"/>
  <c r="H66" i="1"/>
  <c r="J57" i="1"/>
  <c r="H167" i="1"/>
  <c r="J32" i="1"/>
  <c r="J99" i="1"/>
  <c r="J103" i="1"/>
  <c r="H165" i="1"/>
  <c r="H172" i="1"/>
  <c r="J115" i="1"/>
  <c r="H20" i="1"/>
  <c r="H148" i="1"/>
  <c r="J148" i="1"/>
  <c r="J74" i="1"/>
  <c r="H74" i="1"/>
  <c r="H60" i="1"/>
  <c r="J60" i="1"/>
  <c r="I99" i="1"/>
  <c r="K99" i="1" s="1"/>
  <c r="I38" i="1"/>
  <c r="K38" i="1" s="1"/>
  <c r="I102" i="1"/>
  <c r="K102" i="1" s="1"/>
  <c r="I108" i="1"/>
  <c r="K108" i="1" s="1"/>
  <c r="I115" i="1"/>
  <c r="K115" i="1" s="1"/>
  <c r="J171" i="1"/>
  <c r="J82" i="1"/>
  <c r="H82" i="1"/>
  <c r="J10" i="1"/>
  <c r="H10" i="1"/>
  <c r="H76" i="1"/>
  <c r="J76" i="1"/>
  <c r="H44" i="1"/>
  <c r="J44" i="1"/>
  <c r="J38" i="1"/>
  <c r="J34" i="1"/>
  <c r="H34" i="1"/>
  <c r="H92" i="1"/>
  <c r="J92" i="1"/>
  <c r="J42" i="1"/>
  <c r="H42" i="1"/>
  <c r="H28" i="1"/>
  <c r="J146" i="1"/>
  <c r="H146" i="1"/>
  <c r="J18" i="1"/>
  <c r="K18" i="1" s="1"/>
  <c r="H18" i="1"/>
  <c r="H84" i="1"/>
  <c r="J84" i="1"/>
  <c r="B69" i="1"/>
  <c r="B197" i="1"/>
  <c r="B165" i="1"/>
  <c r="B37" i="1"/>
  <c r="C118" i="1"/>
  <c r="E118" i="1" s="1"/>
  <c r="B149" i="1"/>
  <c r="B21" i="1"/>
  <c r="C86" i="1"/>
  <c r="E86" i="1" s="1"/>
  <c r="B133" i="1"/>
  <c r="B117" i="1"/>
  <c r="B101" i="1"/>
  <c r="B85" i="1"/>
  <c r="C189" i="1"/>
  <c r="E189" i="1" s="1"/>
  <c r="B181" i="1"/>
  <c r="B53" i="1"/>
  <c r="C151" i="1"/>
  <c r="E151" i="1" s="1"/>
  <c r="C48" i="1"/>
  <c r="E48" i="1" s="1"/>
  <c r="C12" i="1"/>
  <c r="J29" i="1" s="1"/>
  <c r="K29" i="1" s="1"/>
  <c r="C15" i="1"/>
  <c r="B15" i="1"/>
  <c r="C191" i="1"/>
  <c r="E191" i="1" s="1"/>
  <c r="B191" i="1"/>
  <c r="C183" i="1"/>
  <c r="E183" i="1" s="1"/>
  <c r="B183" i="1"/>
  <c r="C167" i="1"/>
  <c r="E167" i="1" s="1"/>
  <c r="B167" i="1"/>
  <c r="C159" i="1"/>
  <c r="E159" i="1" s="1"/>
  <c r="B159" i="1"/>
  <c r="C135" i="1"/>
  <c r="E135" i="1" s="1"/>
  <c r="B135" i="1"/>
  <c r="C127" i="1"/>
  <c r="E127" i="1" s="1"/>
  <c r="B127" i="1"/>
  <c r="C119" i="1"/>
  <c r="E119" i="1" s="1"/>
  <c r="B119" i="1"/>
  <c r="C103" i="1"/>
  <c r="E103" i="1" s="1"/>
  <c r="B103" i="1"/>
  <c r="C95" i="1"/>
  <c r="E95" i="1" s="1"/>
  <c r="B95" i="1"/>
  <c r="C71" i="1"/>
  <c r="E71" i="1" s="1"/>
  <c r="B71" i="1"/>
  <c r="C63" i="1"/>
  <c r="E63" i="1" s="1"/>
  <c r="B63" i="1"/>
  <c r="C55" i="1"/>
  <c r="E55" i="1" s="1"/>
  <c r="B55" i="1"/>
  <c r="B196" i="1"/>
  <c r="B180" i="1"/>
  <c r="B164" i="1"/>
  <c r="B148" i="1"/>
  <c r="B132" i="1"/>
  <c r="B116" i="1"/>
  <c r="B100" i="1"/>
  <c r="B84" i="1"/>
  <c r="B68" i="1"/>
  <c r="B52" i="1"/>
  <c r="B36" i="1"/>
  <c r="B20" i="1"/>
  <c r="C182" i="1"/>
  <c r="E182" i="1" s="1"/>
  <c r="C150" i="1"/>
  <c r="E150" i="1" s="1"/>
  <c r="C112" i="1"/>
  <c r="E112" i="1" s="1"/>
  <c r="C79" i="1"/>
  <c r="E79" i="1" s="1"/>
  <c r="C47" i="1"/>
  <c r="E47" i="1" s="1"/>
  <c r="C14" i="1"/>
  <c r="B14" i="1"/>
  <c r="C34" i="1"/>
  <c r="B34" i="1"/>
  <c r="C26" i="1"/>
  <c r="B26" i="1"/>
  <c r="C18" i="1"/>
  <c r="B18" i="1"/>
  <c r="C198" i="1"/>
  <c r="E198" i="1" s="1"/>
  <c r="B198" i="1"/>
  <c r="C174" i="1"/>
  <c r="E174" i="1" s="1"/>
  <c r="B174" i="1"/>
  <c r="C166" i="1"/>
  <c r="E166" i="1" s="1"/>
  <c r="B166" i="1"/>
  <c r="C158" i="1"/>
  <c r="E158" i="1" s="1"/>
  <c r="B158" i="1"/>
  <c r="B142" i="1"/>
  <c r="C142" i="1"/>
  <c r="E142" i="1" s="1"/>
  <c r="C134" i="1"/>
  <c r="E134" i="1" s="1"/>
  <c r="B134" i="1"/>
  <c r="C110" i="1"/>
  <c r="E110" i="1" s="1"/>
  <c r="B110" i="1"/>
  <c r="C102" i="1"/>
  <c r="E102" i="1" s="1"/>
  <c r="B102" i="1"/>
  <c r="C94" i="1"/>
  <c r="E94" i="1" s="1"/>
  <c r="B94" i="1"/>
  <c r="B78" i="1"/>
  <c r="C78" i="1"/>
  <c r="E78" i="1" s="1"/>
  <c r="C70" i="1"/>
  <c r="E70" i="1" s="1"/>
  <c r="B70" i="1"/>
  <c r="C46" i="1"/>
  <c r="B46" i="1"/>
  <c r="B195" i="1"/>
  <c r="B179" i="1"/>
  <c r="B163" i="1"/>
  <c r="B147" i="1"/>
  <c r="B131" i="1"/>
  <c r="B115" i="1"/>
  <c r="B99" i="1"/>
  <c r="B83" i="1"/>
  <c r="B67" i="1"/>
  <c r="B51" i="1"/>
  <c r="B35" i="1"/>
  <c r="B19" i="1"/>
  <c r="C176" i="1"/>
  <c r="E176" i="1" s="1"/>
  <c r="C143" i="1"/>
  <c r="E143" i="1" s="1"/>
  <c r="C111" i="1"/>
  <c r="E111" i="1" s="1"/>
  <c r="C76" i="1"/>
  <c r="E76" i="1" s="1"/>
  <c r="C40" i="1"/>
  <c r="C25" i="1"/>
  <c r="B25" i="1"/>
  <c r="B192" i="1"/>
  <c r="B160" i="1"/>
  <c r="B144" i="1"/>
  <c r="B128" i="1"/>
  <c r="B96" i="1"/>
  <c r="B80" i="1"/>
  <c r="B64" i="1"/>
  <c r="B32" i="1"/>
  <c r="B16" i="1"/>
  <c r="C175" i="1"/>
  <c r="E175" i="1" s="1"/>
  <c r="C140" i="1"/>
  <c r="E140" i="1" s="1"/>
  <c r="C104" i="1"/>
  <c r="E104" i="1" s="1"/>
  <c r="C72" i="1"/>
  <c r="E72" i="1" s="1"/>
  <c r="B173" i="1"/>
  <c r="B157" i="1"/>
  <c r="B141" i="1"/>
  <c r="B125" i="1"/>
  <c r="B109" i="1"/>
  <c r="B93" i="1"/>
  <c r="B77" i="1"/>
  <c r="B61" i="1"/>
  <c r="B45" i="1"/>
  <c r="B29" i="1"/>
  <c r="B13" i="1"/>
  <c r="C200" i="1"/>
  <c r="E200" i="1" s="1"/>
  <c r="C168" i="1"/>
  <c r="E168" i="1" s="1"/>
  <c r="C136" i="1"/>
  <c r="E136" i="1" s="1"/>
  <c r="C31" i="1"/>
  <c r="B31" i="1"/>
  <c r="C23" i="1"/>
  <c r="B23" i="1"/>
  <c r="C41" i="1"/>
  <c r="B41" i="1"/>
  <c r="B188" i="1"/>
  <c r="B172" i="1"/>
  <c r="B156" i="1"/>
  <c r="B124" i="1"/>
  <c r="B108" i="1"/>
  <c r="B92" i="1"/>
  <c r="B60" i="1"/>
  <c r="B44" i="1"/>
  <c r="B28" i="1"/>
  <c r="C199" i="1"/>
  <c r="E199" i="1" s="1"/>
  <c r="C62" i="1"/>
  <c r="E62" i="1" s="1"/>
  <c r="C38" i="1"/>
  <c r="B38" i="1"/>
  <c r="C194" i="1"/>
  <c r="E194" i="1" s="1"/>
  <c r="B194" i="1"/>
  <c r="C186" i="1"/>
  <c r="E186" i="1" s="1"/>
  <c r="B186" i="1"/>
  <c r="C178" i="1"/>
  <c r="E178" i="1" s="1"/>
  <c r="B178" i="1"/>
  <c r="C170" i="1"/>
  <c r="E170" i="1" s="1"/>
  <c r="B170" i="1"/>
  <c r="C162" i="1"/>
  <c r="E162" i="1" s="1"/>
  <c r="B162" i="1"/>
  <c r="C154" i="1"/>
  <c r="E154" i="1" s="1"/>
  <c r="B154" i="1"/>
  <c r="C146" i="1"/>
  <c r="E146" i="1" s="1"/>
  <c r="B146" i="1"/>
  <c r="C138" i="1"/>
  <c r="E138" i="1" s="1"/>
  <c r="B138" i="1"/>
  <c r="C130" i="1"/>
  <c r="E130" i="1" s="1"/>
  <c r="B130" i="1"/>
  <c r="C122" i="1"/>
  <c r="E122" i="1" s="1"/>
  <c r="B122" i="1"/>
  <c r="C114" i="1"/>
  <c r="E114" i="1" s="1"/>
  <c r="B114" i="1"/>
  <c r="C106" i="1"/>
  <c r="E106" i="1" s="1"/>
  <c r="B106" i="1"/>
  <c r="C98" i="1"/>
  <c r="E98" i="1" s="1"/>
  <c r="B98" i="1"/>
  <c r="C90" i="1"/>
  <c r="E90" i="1" s="1"/>
  <c r="B90" i="1"/>
  <c r="C82" i="1"/>
  <c r="E82" i="1" s="1"/>
  <c r="B82" i="1"/>
  <c r="C74" i="1"/>
  <c r="E74" i="1" s="1"/>
  <c r="B74" i="1"/>
  <c r="C66" i="1"/>
  <c r="E66" i="1" s="1"/>
  <c r="B66" i="1"/>
  <c r="C58" i="1"/>
  <c r="E58" i="1" s="1"/>
  <c r="B58" i="1"/>
  <c r="C50" i="1"/>
  <c r="E50" i="1" s="1"/>
  <c r="B50" i="1"/>
  <c r="B7" i="1"/>
  <c r="B187" i="1"/>
  <c r="B171" i="1"/>
  <c r="B155" i="1"/>
  <c r="B139" i="1"/>
  <c r="B123" i="1"/>
  <c r="B107" i="1"/>
  <c r="B91" i="1"/>
  <c r="B75" i="1"/>
  <c r="B59" i="1"/>
  <c r="B43" i="1"/>
  <c r="B27" i="1"/>
  <c r="B11" i="1"/>
  <c r="C193" i="1"/>
  <c r="E193" i="1" s="1"/>
  <c r="C126" i="1"/>
  <c r="E126" i="1" s="1"/>
  <c r="C33" i="1"/>
  <c r="B33" i="1"/>
  <c r="C17" i="1"/>
  <c r="B17" i="1"/>
  <c r="C42" i="1"/>
  <c r="B42" i="1"/>
  <c r="C10" i="1"/>
  <c r="J28" i="1" s="1"/>
  <c r="K28" i="1" s="1"/>
  <c r="B10" i="1"/>
  <c r="C30" i="1"/>
  <c r="J25" i="1" s="1"/>
  <c r="B30" i="1"/>
  <c r="C22" i="1"/>
  <c r="J20" i="1" s="1"/>
  <c r="K20" i="1" s="1"/>
  <c r="B22" i="1"/>
  <c r="C9" i="1"/>
  <c r="B9" i="1"/>
  <c r="C39" i="1"/>
  <c r="B39" i="1"/>
  <c r="C185" i="1"/>
  <c r="E185" i="1" s="1"/>
  <c r="B185" i="1"/>
  <c r="C177" i="1"/>
  <c r="E177" i="1" s="1"/>
  <c r="B177" i="1"/>
  <c r="C169" i="1"/>
  <c r="E169" i="1" s="1"/>
  <c r="B169" i="1"/>
  <c r="C161" i="1"/>
  <c r="E161" i="1" s="1"/>
  <c r="B161" i="1"/>
  <c r="C153" i="1"/>
  <c r="E153" i="1" s="1"/>
  <c r="B153" i="1"/>
  <c r="C145" i="1"/>
  <c r="E145" i="1" s="1"/>
  <c r="B145" i="1"/>
  <c r="C137" i="1"/>
  <c r="E137" i="1" s="1"/>
  <c r="B137" i="1"/>
  <c r="C129" i="1"/>
  <c r="E129" i="1" s="1"/>
  <c r="B129" i="1"/>
  <c r="C121" i="1"/>
  <c r="E121" i="1" s="1"/>
  <c r="B121" i="1"/>
  <c r="C113" i="1"/>
  <c r="E113" i="1" s="1"/>
  <c r="B113" i="1"/>
  <c r="C105" i="1"/>
  <c r="E105" i="1" s="1"/>
  <c r="B105" i="1"/>
  <c r="C97" i="1"/>
  <c r="E97" i="1" s="1"/>
  <c r="B97" i="1"/>
  <c r="C89" i="1"/>
  <c r="E89" i="1" s="1"/>
  <c r="B89" i="1"/>
  <c r="C81" i="1"/>
  <c r="E81" i="1" s="1"/>
  <c r="B81" i="1"/>
  <c r="C73" i="1"/>
  <c r="E73" i="1" s="1"/>
  <c r="B73" i="1"/>
  <c r="C65" i="1"/>
  <c r="E65" i="1" s="1"/>
  <c r="B65" i="1"/>
  <c r="C57" i="1"/>
  <c r="E57" i="1" s="1"/>
  <c r="B57" i="1"/>
  <c r="C49" i="1"/>
  <c r="E49" i="1" s="1"/>
  <c r="B49" i="1"/>
  <c r="B184" i="1"/>
  <c r="B152" i="1"/>
  <c r="B120" i="1"/>
  <c r="B88" i="1"/>
  <c r="B56" i="1"/>
  <c r="B24" i="1"/>
  <c r="B8" i="1"/>
  <c r="C190" i="1"/>
  <c r="E190" i="1" s="1"/>
  <c r="C87" i="1"/>
  <c r="E87" i="1" s="1"/>
  <c r="C54" i="1"/>
  <c r="E54" i="1" s="1"/>
  <c r="H7" i="1"/>
  <c r="K31" i="1"/>
  <c r="K30" i="1"/>
  <c r="K22" i="1"/>
  <c r="K37" i="1"/>
  <c r="K21" i="1"/>
  <c r="K34" i="1"/>
  <c r="J7" i="1"/>
  <c r="K7" i="1" s="1"/>
  <c r="D15" i="1"/>
  <c r="D19" i="1"/>
  <c r="E19" i="1" s="1"/>
  <c r="D24" i="1"/>
  <c r="E24" i="1" s="1"/>
  <c r="D25" i="1"/>
  <c r="D26" i="1"/>
  <c r="D27" i="1"/>
  <c r="E27" i="1" s="1"/>
  <c r="D28" i="1"/>
  <c r="E28" i="1" s="1"/>
  <c r="D29" i="1"/>
  <c r="E29" i="1" s="1"/>
  <c r="D30" i="1"/>
  <c r="D31" i="1"/>
  <c r="D32" i="1"/>
  <c r="E32" i="1" s="1"/>
  <c r="D33" i="1"/>
  <c r="D34" i="1"/>
  <c r="D35" i="1"/>
  <c r="E35" i="1" s="1"/>
  <c r="D36" i="1"/>
  <c r="E36" i="1" s="1"/>
  <c r="D37" i="1"/>
  <c r="E37" i="1" s="1"/>
  <c r="D38" i="1"/>
  <c r="D39" i="1"/>
  <c r="D40" i="1"/>
  <c r="D41" i="1"/>
  <c r="D42" i="1"/>
  <c r="D43" i="1"/>
  <c r="E43" i="1" s="1"/>
  <c r="D44" i="1"/>
  <c r="E44" i="1" s="1"/>
  <c r="D45" i="1"/>
  <c r="E45" i="1" s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E38" i="1" l="1"/>
  <c r="K25" i="1"/>
  <c r="K27" i="1"/>
  <c r="E42" i="1"/>
  <c r="E33" i="1"/>
  <c r="E41" i="1"/>
  <c r="E46" i="1"/>
  <c r="E34" i="1"/>
  <c r="E39" i="1"/>
  <c r="E40" i="1"/>
  <c r="K24" i="1"/>
  <c r="K19" i="1"/>
  <c r="E30" i="1"/>
  <c r="E25" i="1"/>
  <c r="E31" i="1"/>
  <c r="E26" i="1"/>
  <c r="E15" i="1"/>
  <c r="D20" i="1"/>
  <c r="E20" i="1" s="1"/>
  <c r="D22" i="1"/>
  <c r="E22" i="1" s="1"/>
  <c r="D23" i="1"/>
  <c r="E23" i="1" s="1"/>
  <c r="K9" i="1"/>
  <c r="D7" i="1"/>
  <c r="E7" i="1" s="1"/>
  <c r="K10" i="1"/>
  <c r="D12" i="1"/>
  <c r="E12" i="1" s="1"/>
  <c r="K14" i="1"/>
  <c r="D14" i="1"/>
  <c r="E14" i="1" s="1"/>
  <c r="D13" i="1"/>
  <c r="E13" i="1" s="1"/>
  <c r="K13" i="1"/>
  <c r="K15" i="1"/>
  <c r="D16" i="1"/>
  <c r="E16" i="1" s="1"/>
  <c r="D11" i="1"/>
  <c r="E11" i="1" s="1"/>
  <c r="D9" i="1"/>
  <c r="E9" i="1" s="1"/>
  <c r="D8" i="1"/>
  <c r="E8" i="1" s="1"/>
  <c r="K12" i="1"/>
  <c r="D17" i="1"/>
  <c r="E17" i="1" s="1"/>
  <c r="D18" i="1"/>
  <c r="E18" i="1" s="1"/>
  <c r="D10" i="1"/>
  <c r="E10" i="1" s="1"/>
  <c r="K11" i="1"/>
  <c r="K16" i="1"/>
  <c r="D21" i="1"/>
  <c r="E21" i="1" s="1"/>
  <c r="F33" i="2" l="1" a="1"/>
  <c r="F33" i="2" s="1"/>
  <c r="I33" i="2" s="1"/>
  <c r="F130" i="2" a="1"/>
  <c r="F130" i="2" s="1"/>
  <c r="F79" i="2" a="1"/>
  <c r="F79" i="2" s="1"/>
  <c r="F51" i="2" a="1"/>
  <c r="F51" i="2" s="1"/>
  <c r="F182" i="2" a="1"/>
  <c r="F182" i="2" s="1"/>
  <c r="F150" i="2" a="1"/>
  <c r="F150" i="2" s="1"/>
  <c r="F96" i="2" a="1"/>
  <c r="F96" i="2" s="1"/>
  <c r="F86" i="2" a="1"/>
  <c r="F86" i="2" s="1"/>
  <c r="F17" i="2" a="1"/>
  <c r="F17" i="2" s="1"/>
  <c r="F183" i="2" a="1"/>
  <c r="F183" i="2" s="1"/>
  <c r="F151" i="2" a="1"/>
  <c r="F151" i="2" s="1"/>
  <c r="F75" i="2" a="1"/>
  <c r="F75" i="2" s="1"/>
  <c r="F191" i="2" a="1"/>
  <c r="F191" i="2" s="1"/>
  <c r="F97" i="2" a="1"/>
  <c r="F97" i="2" s="1"/>
  <c r="F28" i="2" a="1"/>
  <c r="F28" i="2" s="1"/>
  <c r="F121" i="2" a="1"/>
  <c r="F121" i="2" s="1"/>
  <c r="F178" i="2" a="1"/>
  <c r="F178" i="2" s="1"/>
  <c r="F146" i="2" a="1"/>
  <c r="F146" i="2" s="1"/>
  <c r="F70" i="2" a="1"/>
  <c r="F70" i="2" s="1"/>
  <c r="F131" i="2" a="1"/>
  <c r="F131" i="2" s="1"/>
  <c r="F92" i="2" a="1"/>
  <c r="F92" i="2" s="1"/>
  <c r="F19" i="2" a="1"/>
  <c r="F19" i="2" s="1"/>
  <c r="F161" i="2" a="1"/>
  <c r="F161" i="2" s="1"/>
  <c r="F77" i="2" a="1"/>
  <c r="F77" i="2" s="1"/>
  <c r="F196" i="2" a="1"/>
  <c r="F196" i="2" s="1"/>
  <c r="F188" i="2" a="1"/>
  <c r="F188" i="2" s="1"/>
  <c r="F91" i="2" a="1"/>
  <c r="F91" i="2" s="1"/>
  <c r="F22" i="2" a="1"/>
  <c r="F22" i="2" s="1"/>
  <c r="F176" i="2" a="1"/>
  <c r="F176" i="2" s="1"/>
  <c r="F144" i="2" a="1"/>
  <c r="F144" i="2" s="1"/>
  <c r="F76" i="2" a="1"/>
  <c r="F76" i="2" s="1"/>
  <c r="F64" i="2" a="1"/>
  <c r="F64" i="2" s="1"/>
  <c r="F13" i="2" a="1"/>
  <c r="F13" i="2" s="1"/>
  <c r="F179" i="2" a="1"/>
  <c r="F179" i="2" s="1"/>
  <c r="F147" i="2" a="1"/>
  <c r="F147" i="2" s="1"/>
  <c r="F71" i="2" a="1"/>
  <c r="F71" i="2" s="1"/>
  <c r="F106" i="2" a="1"/>
  <c r="F106" i="2" s="1"/>
  <c r="F93" i="2" a="1"/>
  <c r="F93" i="2" s="1"/>
  <c r="F24" i="2" a="1"/>
  <c r="F24" i="2" s="1"/>
  <c r="F113" i="2" a="1"/>
  <c r="F113" i="2" s="1"/>
  <c r="F174" i="2" a="1"/>
  <c r="F174" i="2" s="1"/>
  <c r="F142" i="2" a="1"/>
  <c r="F142" i="2" s="1"/>
  <c r="F47" i="2" a="1"/>
  <c r="F47" i="2" s="1"/>
  <c r="F120" i="2" a="1"/>
  <c r="F120" i="2" s="1"/>
  <c r="F88" i="2" a="1"/>
  <c r="F88" i="2" s="1"/>
  <c r="F15" i="2" a="1"/>
  <c r="F15" i="2" s="1"/>
  <c r="F153" i="2" a="1"/>
  <c r="F153" i="2" s="1"/>
  <c r="F73" i="2" a="1"/>
  <c r="F73" i="2" s="1"/>
  <c r="F181" i="2" a="1"/>
  <c r="F181" i="2" s="1"/>
  <c r="F119" i="2" a="1"/>
  <c r="F119" i="2" s="1"/>
  <c r="F87" i="2" a="1"/>
  <c r="F87" i="2" s="1"/>
  <c r="F18" i="2" a="1"/>
  <c r="F18" i="2" s="1"/>
  <c r="F172" i="2" a="1"/>
  <c r="F172" i="2" s="1"/>
  <c r="F140" i="2" a="1"/>
  <c r="F140" i="2" s="1"/>
  <c r="F72" i="2" a="1"/>
  <c r="F72" i="2" s="1"/>
  <c r="F60" i="2" a="1"/>
  <c r="F60" i="2" s="1"/>
  <c r="F9" i="2" a="1"/>
  <c r="F9" i="2" s="1"/>
  <c r="F175" i="2" a="1"/>
  <c r="F175" i="2" s="1"/>
  <c r="F143" i="2" a="1"/>
  <c r="F143" i="2" s="1"/>
  <c r="F67" i="2" a="1"/>
  <c r="F67" i="2" s="1"/>
  <c r="F5" i="2" a="1"/>
  <c r="F5" i="2" s="1"/>
  <c r="I5" i="2" s="1"/>
  <c r="F89" i="2" a="1"/>
  <c r="F89" i="2" s="1"/>
  <c r="F20" i="2" a="1"/>
  <c r="F20" i="2" s="1"/>
  <c r="F105" i="2" a="1"/>
  <c r="F105" i="2" s="1"/>
  <c r="F170" i="2" a="1"/>
  <c r="F170" i="2" s="1"/>
  <c r="F138" i="2" a="1"/>
  <c r="F138" i="2" s="1"/>
  <c r="F43" i="2" a="1"/>
  <c r="F43" i="2" s="1"/>
  <c r="F116" i="2" a="1"/>
  <c r="F116" i="2" s="1"/>
  <c r="F66" i="2" a="1"/>
  <c r="F66" i="2" s="1"/>
  <c r="F11" i="2" a="1"/>
  <c r="F11" i="2" s="1"/>
  <c r="F145" i="2" a="1"/>
  <c r="F145" i="2" s="1"/>
  <c r="F69" i="2" a="1"/>
  <c r="F69" i="2" s="1"/>
  <c r="F173" i="2" a="1"/>
  <c r="F173" i="2" s="1"/>
  <c r="F115" i="2" a="1"/>
  <c r="F115" i="2" s="1"/>
  <c r="F65" i="2" a="1"/>
  <c r="F65" i="2" s="1"/>
  <c r="F14" i="2" a="1"/>
  <c r="F14" i="2" s="1"/>
  <c r="F168" i="2" a="1"/>
  <c r="F168" i="2" s="1"/>
  <c r="F136" i="2" a="1"/>
  <c r="F136" i="2" s="1"/>
  <c r="F68" i="2" a="1"/>
  <c r="F68" i="2" s="1"/>
  <c r="G130" i="2"/>
  <c r="H130" i="2"/>
  <c r="I130" i="2"/>
  <c r="F49" i="2" a="1"/>
  <c r="F49" i="2" s="1"/>
  <c r="F118" i="2" a="1"/>
  <c r="F118" i="2" s="1"/>
  <c r="F190" i="2" a="1"/>
  <c r="F190" i="2" s="1"/>
  <c r="F166" i="2" a="1"/>
  <c r="F166" i="2" s="1"/>
  <c r="F112" i="2" a="1"/>
  <c r="F112" i="2" s="1"/>
  <c r="F137" i="2" a="1"/>
  <c r="F137" i="2" s="1"/>
  <c r="F111" i="2" a="1"/>
  <c r="F111" i="2" s="1"/>
  <c r="F10" i="2" a="1"/>
  <c r="F10" i="2" s="1"/>
  <c r="F133" i="2" a="1"/>
  <c r="F133" i="2" s="1"/>
  <c r="F98" i="2" a="1"/>
  <c r="F98" i="2" s="1"/>
  <c r="F129" i="2" a="1"/>
  <c r="F129" i="2" s="1"/>
  <c r="F132" i="2" a="1"/>
  <c r="F132" i="2" s="1"/>
  <c r="F12" i="2" a="1"/>
  <c r="F12" i="2" s="1"/>
  <c r="F162" i="2" a="1"/>
  <c r="F162" i="2" s="1"/>
  <c r="F35" i="2" a="1"/>
  <c r="F35" i="2" s="1"/>
  <c r="F108" i="2" a="1"/>
  <c r="F108" i="2" s="1"/>
  <c r="F58" i="2" a="1"/>
  <c r="F58" i="2" s="1"/>
  <c r="F192" i="2" a="1"/>
  <c r="F192" i="2" s="1"/>
  <c r="F134" i="2" a="1"/>
  <c r="F134" i="2" s="1"/>
  <c r="F46" i="2" a="1"/>
  <c r="F46" i="2" s="1"/>
  <c r="F157" i="2" a="1"/>
  <c r="F157" i="2" s="1"/>
  <c r="F107" i="2" a="1"/>
  <c r="F107" i="2" s="1"/>
  <c r="F57" i="2" a="1"/>
  <c r="F57" i="2" s="1"/>
  <c r="F6" i="2" a="1"/>
  <c r="F6" i="2" s="1"/>
  <c r="F160" i="2" a="1"/>
  <c r="F160" i="2" s="1"/>
  <c r="F126" i="2" a="1"/>
  <c r="F126" i="2" s="1"/>
  <c r="F45" i="2" a="1"/>
  <c r="F45" i="2" s="1"/>
  <c r="F171" i="2" a="1"/>
  <c r="F171" i="2" s="1"/>
  <c r="F85" i="2" a="1"/>
  <c r="F85" i="2" s="1"/>
  <c r="F128" i="2" a="1"/>
  <c r="F128" i="2" s="1"/>
  <c r="F62" i="2" a="1"/>
  <c r="F62" i="2" s="1"/>
  <c r="F50" i="2" a="1"/>
  <c r="F50" i="2" s="1"/>
  <c r="F164" i="2" a="1"/>
  <c r="F164" i="2" s="1"/>
  <c r="F52" i="2" a="1"/>
  <c r="F52" i="2" s="1"/>
  <c r="F167" i="2" a="1"/>
  <c r="F167" i="2" s="1"/>
  <c r="F44" i="2" a="1"/>
  <c r="F44" i="2" s="1"/>
  <c r="F63" i="2" a="1"/>
  <c r="F63" i="2" s="1"/>
  <c r="F197" i="2" a="1"/>
  <c r="F197" i="2" s="1"/>
  <c r="F124" i="2" a="1"/>
  <c r="F124" i="2" s="1"/>
  <c r="F114" i="2" a="1"/>
  <c r="F114" i="2" s="1"/>
  <c r="F29" i="2" a="1"/>
  <c r="F29" i="2" s="1"/>
  <c r="F198" i="2" a="1"/>
  <c r="F198" i="2" s="1"/>
  <c r="F163" i="2" a="1"/>
  <c r="F163" i="2" s="1"/>
  <c r="F125" i="2" a="1"/>
  <c r="F125" i="2" s="1"/>
  <c r="F40" i="2" a="1"/>
  <c r="F40" i="2" s="1"/>
  <c r="F117" i="2" a="1"/>
  <c r="F117" i="2" s="1"/>
  <c r="F59" i="2" a="1"/>
  <c r="F59" i="2" s="1"/>
  <c r="F8" i="2" a="1"/>
  <c r="F8" i="2" s="1"/>
  <c r="F193" i="2" a="1"/>
  <c r="F193" i="2" s="1"/>
  <c r="F158" i="2" a="1"/>
  <c r="F158" i="2" s="1"/>
  <c r="F81" i="2" a="1"/>
  <c r="F81" i="2" s="1"/>
  <c r="F31" i="2" a="1"/>
  <c r="F31" i="2" s="1"/>
  <c r="F104" i="2" a="1"/>
  <c r="F104" i="2" s="1"/>
  <c r="F54" i="2" a="1"/>
  <c r="F54" i="2" s="1"/>
  <c r="F185" i="2" a="1"/>
  <c r="F185" i="2" s="1"/>
  <c r="F127" i="2" a="1"/>
  <c r="F127" i="2" s="1"/>
  <c r="F42" i="2" a="1"/>
  <c r="F42" i="2" s="1"/>
  <c r="F149" i="2" a="1"/>
  <c r="F149" i="2" s="1"/>
  <c r="F103" i="2" a="1"/>
  <c r="F103" i="2" s="1"/>
  <c r="F53" i="2" a="1"/>
  <c r="F53" i="2" s="1"/>
  <c r="F195" i="2" a="1"/>
  <c r="F195" i="2" s="1"/>
  <c r="F156" i="2" a="1"/>
  <c r="F156" i="2" s="1"/>
  <c r="F122" i="2" a="1"/>
  <c r="F122" i="2" s="1"/>
  <c r="F41" i="2" a="1"/>
  <c r="F41" i="2" s="1"/>
  <c r="F56" i="2" a="1"/>
  <c r="F56" i="2" s="1"/>
  <c r="F48" i="2" a="1"/>
  <c r="F48" i="2" s="1"/>
  <c r="F16" i="2" a="1"/>
  <c r="F16" i="2" s="1"/>
  <c r="F39" i="2" a="1"/>
  <c r="F39" i="2" s="1"/>
  <c r="F7" i="2" a="1"/>
  <c r="F7" i="2" s="1"/>
  <c r="F165" i="2" a="1"/>
  <c r="F165" i="2" s="1"/>
  <c r="F61" i="2" a="1"/>
  <c r="F61" i="2" s="1"/>
  <c r="F94" i="2" a="1"/>
  <c r="F94" i="2" s="1"/>
  <c r="F25" i="2" a="1"/>
  <c r="F25" i="2" s="1"/>
  <c r="F194" i="2" a="1"/>
  <c r="F194" i="2" s="1"/>
  <c r="F159" i="2" a="1"/>
  <c r="F159" i="2" s="1"/>
  <c r="F82" i="2" a="1"/>
  <c r="F82" i="2" s="1"/>
  <c r="F36" i="2" a="1"/>
  <c r="F36" i="2" s="1"/>
  <c r="F109" i="2" a="1"/>
  <c r="F109" i="2" s="1"/>
  <c r="F55" i="2" a="1"/>
  <c r="F55" i="2" s="1"/>
  <c r="F102" i="2" a="1"/>
  <c r="F102" i="2" s="1"/>
  <c r="F186" i="2" a="1"/>
  <c r="F186" i="2" s="1"/>
  <c r="F154" i="2" a="1"/>
  <c r="F154" i="2" s="1"/>
  <c r="F78" i="2" a="1"/>
  <c r="F78" i="2" s="1"/>
  <c r="F110" i="2" a="1"/>
  <c r="F110" i="2" s="1"/>
  <c r="F100" i="2" a="1"/>
  <c r="F100" i="2" s="1"/>
  <c r="F27" i="2" a="1"/>
  <c r="F27" i="2" s="1"/>
  <c r="F177" i="2" a="1"/>
  <c r="F177" i="2" s="1"/>
  <c r="F123" i="2" a="1"/>
  <c r="F123" i="2" s="1"/>
  <c r="F38" i="2" a="1"/>
  <c r="F38" i="2" s="1"/>
  <c r="F141" i="2" a="1"/>
  <c r="F141" i="2" s="1"/>
  <c r="F99" i="2" a="1"/>
  <c r="F99" i="2" s="1"/>
  <c r="F30" i="2" a="1"/>
  <c r="F30" i="2" s="1"/>
  <c r="F184" i="2" a="1"/>
  <c r="F184" i="2" s="1"/>
  <c r="F152" i="2" a="1"/>
  <c r="F152" i="2" s="1"/>
  <c r="F83" i="2" a="1"/>
  <c r="F83" i="2" s="1"/>
  <c r="F37" i="2" a="1"/>
  <c r="F37" i="2" s="1"/>
  <c r="A6" i="2" a="1"/>
  <c r="A6" i="2" s="1"/>
  <c r="A10" i="2" a="1"/>
  <c r="A10" i="2" s="1"/>
  <c r="A14" i="2" a="1"/>
  <c r="A14" i="2" s="1"/>
  <c r="A18" i="2" a="1"/>
  <c r="A18" i="2" s="1"/>
  <c r="A22" i="2" a="1"/>
  <c r="A22" i="2" s="1"/>
  <c r="A26" i="2" a="1"/>
  <c r="A26" i="2" s="1"/>
  <c r="A30" i="2" a="1"/>
  <c r="A30" i="2" s="1"/>
  <c r="A53" i="2" a="1"/>
  <c r="A53" i="2" s="1"/>
  <c r="A57" i="2" a="1"/>
  <c r="A57" i="2" s="1"/>
  <c r="A61" i="2" a="1"/>
  <c r="A61" i="2" s="1"/>
  <c r="A65" i="2" a="1"/>
  <c r="A65" i="2" s="1"/>
  <c r="A87" i="2" a="1"/>
  <c r="A87" i="2" s="1"/>
  <c r="A91" i="2" a="1"/>
  <c r="A91" i="2" s="1"/>
  <c r="A95" i="2" a="1"/>
  <c r="A95" i="2" s="1"/>
  <c r="A99" i="2" a="1"/>
  <c r="A99" i="2" s="1"/>
  <c r="A103" i="2" a="1"/>
  <c r="A103" i="2" s="1"/>
  <c r="A107" i="2" a="1"/>
  <c r="A107" i="2" s="1"/>
  <c r="A111" i="2" a="1"/>
  <c r="A111" i="2" s="1"/>
  <c r="A115" i="2" a="1"/>
  <c r="A115" i="2" s="1"/>
  <c r="A119" i="2" a="1"/>
  <c r="A119" i="2" s="1"/>
  <c r="A134" i="2" a="1"/>
  <c r="A134" i="2" s="1"/>
  <c r="A192" i="2" a="1"/>
  <c r="A192" i="2" s="1"/>
  <c r="A199" i="2" a="1"/>
  <c r="A199" i="2" s="1"/>
  <c r="A34" i="2" a="1"/>
  <c r="A34" i="2" s="1"/>
  <c r="A38" i="2" a="1"/>
  <c r="A38" i="2" s="1"/>
  <c r="A42" i="2" a="1"/>
  <c r="A42" i="2" s="1"/>
  <c r="A46" i="2" a="1"/>
  <c r="A46" i="2" s="1"/>
  <c r="A50" i="2" a="1"/>
  <c r="A50" i="2" s="1"/>
  <c r="A69" i="2" a="1"/>
  <c r="A69" i="2" s="1"/>
  <c r="A73" i="2" a="1"/>
  <c r="A73" i="2" s="1"/>
  <c r="A77" i="2" a="1"/>
  <c r="A77" i="2" s="1"/>
  <c r="A84" i="2" a="1"/>
  <c r="A84" i="2" s="1"/>
  <c r="A123" i="2" a="1"/>
  <c r="A123" i="2" s="1"/>
  <c r="A127" i="2" a="1"/>
  <c r="A127" i="2" s="1"/>
  <c r="A137" i="2" a="1"/>
  <c r="A137" i="2" s="1"/>
  <c r="A141" i="2" a="1"/>
  <c r="A141" i="2" s="1"/>
  <c r="A145" i="2" a="1"/>
  <c r="A145" i="2" s="1"/>
  <c r="A149" i="2" a="1"/>
  <c r="A149" i="2" s="1"/>
  <c r="A153" i="2" a="1"/>
  <c r="A153" i="2" s="1"/>
  <c r="A157" i="2" a="1"/>
  <c r="A157" i="2" s="1"/>
  <c r="A161" i="2" a="1"/>
  <c r="A161" i="2" s="1"/>
  <c r="A165" i="2" a="1"/>
  <c r="A165" i="2" s="1"/>
  <c r="A169" i="2" a="1"/>
  <c r="A169" i="2" s="1"/>
  <c r="A173" i="2" a="1"/>
  <c r="A173" i="2" s="1"/>
  <c r="A177" i="2" a="1"/>
  <c r="A177" i="2" s="1"/>
  <c r="A181" i="2" a="1"/>
  <c r="A181" i="2" s="1"/>
  <c r="A185" i="2" a="1"/>
  <c r="A185" i="2" s="1"/>
  <c r="A196" i="2" a="1"/>
  <c r="A196" i="2" s="1"/>
  <c r="A189" i="2" a="1"/>
  <c r="A189" i="2" s="1"/>
  <c r="A168" i="2" a="1"/>
  <c r="A168" i="2" s="1"/>
  <c r="A195" i="2" a="1"/>
  <c r="A195" i="2" s="1"/>
  <c r="A7" i="2" a="1"/>
  <c r="A7" i="2" s="1"/>
  <c r="A11" i="2" a="1"/>
  <c r="A11" i="2" s="1"/>
  <c r="A15" i="2" a="1"/>
  <c r="A15" i="2" s="1"/>
  <c r="A19" i="2" a="1"/>
  <c r="A19" i="2" s="1"/>
  <c r="A23" i="2" a="1"/>
  <c r="A23" i="2" s="1"/>
  <c r="A27" i="2" a="1"/>
  <c r="A27" i="2" s="1"/>
  <c r="A54" i="2" a="1"/>
  <c r="A54" i="2" s="1"/>
  <c r="A58" i="2" a="1"/>
  <c r="A58" i="2" s="1"/>
  <c r="A62" i="2" a="1"/>
  <c r="A62" i="2" s="1"/>
  <c r="A66" i="2" a="1"/>
  <c r="A66" i="2" s="1"/>
  <c r="A88" i="2" a="1"/>
  <c r="A88" i="2" s="1"/>
  <c r="A92" i="2" a="1"/>
  <c r="A92" i="2" s="1"/>
  <c r="A96" i="2" a="1"/>
  <c r="A96" i="2" s="1"/>
  <c r="A100" i="2" a="1"/>
  <c r="A100" i="2" s="1"/>
  <c r="A104" i="2" a="1"/>
  <c r="A104" i="2" s="1"/>
  <c r="A108" i="2" a="1"/>
  <c r="A108" i="2" s="1"/>
  <c r="A112" i="2" a="1"/>
  <c r="A112" i="2" s="1"/>
  <c r="A116" i="2" a="1"/>
  <c r="A116" i="2" s="1"/>
  <c r="A120" i="2" a="1"/>
  <c r="A120" i="2" s="1"/>
  <c r="A131" i="2" a="1"/>
  <c r="A131" i="2" s="1"/>
  <c r="A200" i="2" a="1"/>
  <c r="A200" i="2" s="1"/>
  <c r="A188" i="2" a="1"/>
  <c r="A188" i="2" s="1"/>
  <c r="A31" i="2" a="1"/>
  <c r="A31" i="2" s="1"/>
  <c r="A35" i="2" a="1"/>
  <c r="A35" i="2" s="1"/>
  <c r="A39" i="2" a="1"/>
  <c r="A39" i="2" s="1"/>
  <c r="A43" i="2" a="1"/>
  <c r="A43" i="2" s="1"/>
  <c r="A47" i="2" a="1"/>
  <c r="A47" i="2" s="1"/>
  <c r="A70" i="2" a="1"/>
  <c r="A70" i="2" s="1"/>
  <c r="A74" i="2" a="1"/>
  <c r="A74" i="2" s="1"/>
  <c r="A78" i="2" a="1"/>
  <c r="A78" i="2" s="1"/>
  <c r="A81" i="2" a="1"/>
  <c r="A81" i="2" s="1"/>
  <c r="A124" i="2" a="1"/>
  <c r="A124" i="2" s="1"/>
  <c r="A128" i="2" a="1"/>
  <c r="A128" i="2" s="1"/>
  <c r="A135" i="2" a="1"/>
  <c r="A135" i="2" s="1"/>
  <c r="A138" i="2" a="1"/>
  <c r="A138" i="2" s="1"/>
  <c r="A142" i="2" a="1"/>
  <c r="A142" i="2" s="1"/>
  <c r="A146" i="2" a="1"/>
  <c r="A146" i="2" s="1"/>
  <c r="A150" i="2" a="1"/>
  <c r="A150" i="2" s="1"/>
  <c r="A154" i="2" a="1"/>
  <c r="A154" i="2" s="1"/>
  <c r="A158" i="2" a="1"/>
  <c r="A158" i="2" s="1"/>
  <c r="A162" i="2" a="1"/>
  <c r="A162" i="2" s="1"/>
  <c r="A166" i="2" a="1"/>
  <c r="A166" i="2" s="1"/>
  <c r="A170" i="2" a="1"/>
  <c r="A170" i="2" s="1"/>
  <c r="A174" i="2" a="1"/>
  <c r="A174" i="2" s="1"/>
  <c r="A178" i="2" a="1"/>
  <c r="A178" i="2" s="1"/>
  <c r="A182" i="2" a="1"/>
  <c r="A182" i="2" s="1"/>
  <c r="A186" i="2" a="1"/>
  <c r="A186" i="2" s="1"/>
  <c r="A193" i="2" a="1"/>
  <c r="A193" i="2" s="1"/>
  <c r="A197" i="2" a="1"/>
  <c r="A197" i="2" s="1"/>
  <c r="A159" i="2" a="1"/>
  <c r="A159" i="2" s="1"/>
  <c r="A171" i="2" a="1"/>
  <c r="A171" i="2" s="1"/>
  <c r="A183" i="2" a="1"/>
  <c r="A183" i="2" s="1"/>
  <c r="A194" i="2" a="1"/>
  <c r="A194" i="2" s="1"/>
  <c r="A5" i="2" a="1"/>
  <c r="A5" i="2" s="1"/>
  <c r="A130" i="2" a="1"/>
  <c r="A130" i="2" s="1"/>
  <c r="A148" i="2" a="1"/>
  <c r="A148" i="2" s="1"/>
  <c r="A172" i="2" a="1"/>
  <c r="A172" i="2" s="1"/>
  <c r="A8" i="2" a="1"/>
  <c r="A8" i="2" s="1"/>
  <c r="A12" i="2" a="1"/>
  <c r="A12" i="2" s="1"/>
  <c r="A16" i="2" a="1"/>
  <c r="A16" i="2" s="1"/>
  <c r="A20" i="2" a="1"/>
  <c r="A20" i="2" s="1"/>
  <c r="A24" i="2" a="1"/>
  <c r="A24" i="2" s="1"/>
  <c r="A28" i="2" a="1"/>
  <c r="A28" i="2" s="1"/>
  <c r="A51" i="2" a="1"/>
  <c r="A51" i="2" s="1"/>
  <c r="A55" i="2" a="1"/>
  <c r="A55" i="2" s="1"/>
  <c r="A59" i="2" a="1"/>
  <c r="A59" i="2" s="1"/>
  <c r="A63" i="2" a="1"/>
  <c r="A63" i="2" s="1"/>
  <c r="A67" i="2" a="1"/>
  <c r="A67" i="2" s="1"/>
  <c r="A85" i="2" a="1"/>
  <c r="A85" i="2" s="1"/>
  <c r="A89" i="2" a="1"/>
  <c r="A89" i="2" s="1"/>
  <c r="A93" i="2" a="1"/>
  <c r="A93" i="2" s="1"/>
  <c r="A97" i="2" a="1"/>
  <c r="A97" i="2" s="1"/>
  <c r="A101" i="2" a="1"/>
  <c r="A101" i="2" s="1"/>
  <c r="A105" i="2" a="1"/>
  <c r="A105" i="2" s="1"/>
  <c r="A109" i="2" a="1"/>
  <c r="A109" i="2" s="1"/>
  <c r="A113" i="2" a="1"/>
  <c r="A113" i="2" s="1"/>
  <c r="A117" i="2" a="1"/>
  <c r="A117" i="2" s="1"/>
  <c r="A121" i="2" a="1"/>
  <c r="A121" i="2" s="1"/>
  <c r="A132" i="2" a="1"/>
  <c r="A132" i="2" s="1"/>
  <c r="A190" i="2" a="1"/>
  <c r="A190" i="2" s="1"/>
  <c r="A129" i="2" a="1"/>
  <c r="A129" i="2" s="1"/>
  <c r="A143" i="2" a="1"/>
  <c r="A143" i="2" s="1"/>
  <c r="A151" i="2" a="1"/>
  <c r="A151" i="2" s="1"/>
  <c r="A163" i="2" a="1"/>
  <c r="A163" i="2" s="1"/>
  <c r="A175" i="2" a="1"/>
  <c r="A175" i="2" s="1"/>
  <c r="A187" i="2" a="1"/>
  <c r="A187" i="2" s="1"/>
  <c r="A198" i="2" a="1"/>
  <c r="A198" i="2" s="1"/>
  <c r="A122" i="2" a="1"/>
  <c r="A122" i="2" s="1"/>
  <c r="A140" i="2" a="1"/>
  <c r="A140" i="2" s="1"/>
  <c r="A160" i="2" a="1"/>
  <c r="A160" i="2" s="1"/>
  <c r="A184" i="2" a="1"/>
  <c r="A184" i="2" s="1"/>
  <c r="A32" i="2" a="1"/>
  <c r="A32" i="2" s="1"/>
  <c r="A36" i="2" a="1"/>
  <c r="A36" i="2" s="1"/>
  <c r="A40" i="2" a="1"/>
  <c r="A40" i="2" s="1"/>
  <c r="A44" i="2" a="1"/>
  <c r="A44" i="2" s="1"/>
  <c r="A48" i="2" a="1"/>
  <c r="A48" i="2" s="1"/>
  <c r="A71" i="2" a="1"/>
  <c r="A71" i="2" s="1"/>
  <c r="A75" i="2" a="1"/>
  <c r="A75" i="2" s="1"/>
  <c r="A79" i="2" a="1"/>
  <c r="A79" i="2" s="1"/>
  <c r="A82" i="2" a="1"/>
  <c r="A82" i="2" s="1"/>
  <c r="A125" i="2" a="1"/>
  <c r="A125" i="2" s="1"/>
  <c r="A139" i="2" a="1"/>
  <c r="A139" i="2" s="1"/>
  <c r="A147" i="2" a="1"/>
  <c r="A147" i="2" s="1"/>
  <c r="A155" i="2" a="1"/>
  <c r="A155" i="2" s="1"/>
  <c r="A167" i="2" a="1"/>
  <c r="A167" i="2" s="1"/>
  <c r="A179" i="2" a="1"/>
  <c r="A179" i="2" s="1"/>
  <c r="A126" i="2" a="1"/>
  <c r="A126" i="2" s="1"/>
  <c r="A144" i="2" a="1"/>
  <c r="A144" i="2" s="1"/>
  <c r="A164" i="2" a="1"/>
  <c r="A164" i="2" s="1"/>
  <c r="A9" i="2" a="1"/>
  <c r="A9" i="2" s="1"/>
  <c r="A13" i="2" a="1"/>
  <c r="A13" i="2" s="1"/>
  <c r="A17" i="2" a="1"/>
  <c r="A17" i="2" s="1"/>
  <c r="A21" i="2" a="1"/>
  <c r="A21" i="2" s="1"/>
  <c r="A25" i="2" a="1"/>
  <c r="A25" i="2" s="1"/>
  <c r="A29" i="2" a="1"/>
  <c r="A29" i="2" s="1"/>
  <c r="A52" i="2" a="1"/>
  <c r="A52" i="2" s="1"/>
  <c r="A56" i="2" a="1"/>
  <c r="A56" i="2" s="1"/>
  <c r="A60" i="2" a="1"/>
  <c r="A60" i="2" s="1"/>
  <c r="A64" i="2" a="1"/>
  <c r="A64" i="2" s="1"/>
  <c r="A86" i="2" a="1"/>
  <c r="A86" i="2" s="1"/>
  <c r="A90" i="2" a="1"/>
  <c r="A90" i="2" s="1"/>
  <c r="A94" i="2" a="1"/>
  <c r="A94" i="2" s="1"/>
  <c r="A98" i="2" a="1"/>
  <c r="A98" i="2" s="1"/>
  <c r="A102" i="2" a="1"/>
  <c r="A102" i="2" s="1"/>
  <c r="A106" i="2" a="1"/>
  <c r="A106" i="2" s="1"/>
  <c r="A110" i="2" a="1"/>
  <c r="A110" i="2" s="1"/>
  <c r="A114" i="2" a="1"/>
  <c r="A114" i="2" s="1"/>
  <c r="A118" i="2" a="1"/>
  <c r="A118" i="2" s="1"/>
  <c r="A133" i="2" a="1"/>
  <c r="A133" i="2" s="1"/>
  <c r="A191" i="2" a="1"/>
  <c r="A191" i="2" s="1"/>
  <c r="A136" i="2" a="1"/>
  <c r="A136" i="2" s="1"/>
  <c r="A156" i="2" a="1"/>
  <c r="A156" i="2" s="1"/>
  <c r="A180" i="2" a="1"/>
  <c r="A180" i="2" s="1"/>
  <c r="A33" i="2" a="1"/>
  <c r="A33" i="2" s="1"/>
  <c r="A37" i="2" a="1"/>
  <c r="A37" i="2" s="1"/>
  <c r="A41" i="2" a="1"/>
  <c r="A41" i="2" s="1"/>
  <c r="A45" i="2" a="1"/>
  <c r="A45" i="2" s="1"/>
  <c r="A49" i="2" a="1"/>
  <c r="A49" i="2" s="1"/>
  <c r="A68" i="2" a="1"/>
  <c r="A68" i="2" s="1"/>
  <c r="A72" i="2" a="1"/>
  <c r="A72" i="2" s="1"/>
  <c r="A76" i="2" a="1"/>
  <c r="A76" i="2" s="1"/>
  <c r="A80" i="2" a="1"/>
  <c r="A80" i="2" s="1"/>
  <c r="A83" i="2" a="1"/>
  <c r="A83" i="2" s="1"/>
  <c r="A152" i="2" a="1"/>
  <c r="A152" i="2" s="1"/>
  <c r="A176" i="2" a="1"/>
  <c r="A176" i="2" s="1"/>
  <c r="F139" i="2" a="1"/>
  <c r="F139" i="2" s="1"/>
  <c r="F200" i="2" a="1"/>
  <c r="F200" i="2" s="1"/>
  <c r="F90" i="2" a="1"/>
  <c r="F90" i="2" s="1"/>
  <c r="F21" i="2" a="1"/>
  <c r="F21" i="2" s="1"/>
  <c r="F187" i="2" a="1"/>
  <c r="F187" i="2" s="1"/>
  <c r="F155" i="2" a="1"/>
  <c r="F155" i="2" s="1"/>
  <c r="F32" i="2" a="1"/>
  <c r="F32" i="2" s="1"/>
  <c r="F101" i="2" a="1"/>
  <c r="F101" i="2" s="1"/>
  <c r="F135" i="2" a="1"/>
  <c r="F135" i="2" s="1"/>
  <c r="F74" i="2" a="1"/>
  <c r="F74" i="2" s="1"/>
  <c r="F189" i="2" a="1"/>
  <c r="F189" i="2" s="1"/>
  <c r="F23" i="2" a="1"/>
  <c r="F23" i="2" s="1"/>
  <c r="F169" i="2" a="1"/>
  <c r="F169" i="2" s="1"/>
  <c r="F84" i="2" a="1"/>
  <c r="F84" i="2" s="1"/>
  <c r="F34" i="2" a="1"/>
  <c r="F34" i="2" s="1"/>
  <c r="F199" i="2" a="1"/>
  <c r="F199" i="2" s="1"/>
  <c r="F95" i="2" a="1"/>
  <c r="F95" i="2" s="1"/>
  <c r="F26" i="2" a="1"/>
  <c r="F26" i="2" s="1"/>
  <c r="F180" i="2" a="1"/>
  <c r="F180" i="2" s="1"/>
  <c r="F148" i="2" a="1"/>
  <c r="F148" i="2" s="1"/>
  <c r="F80" i="2" a="1"/>
  <c r="F80" i="2" s="1"/>
  <c r="F397" i="2" a="1"/>
  <c r="F397" i="2" s="1"/>
  <c r="G397" i="2" s="1"/>
  <c r="F267" i="2" a="1"/>
  <c r="F267" i="2" s="1"/>
  <c r="H267" i="2" s="1"/>
  <c r="F290" i="2" a="1"/>
  <c r="F290" i="2" s="1"/>
  <c r="I290" i="2" s="1"/>
  <c r="F321" i="2" a="1"/>
  <c r="F321" i="2" s="1"/>
  <c r="G321" i="2" s="1"/>
  <c r="F408" i="2" a="1"/>
  <c r="F408" i="2" s="1"/>
  <c r="G408" i="2" s="1"/>
  <c r="F335" i="2" a="1"/>
  <c r="F335" i="2" s="1"/>
  <c r="H335" i="2" s="1"/>
  <c r="F479" i="2" a="1"/>
  <c r="F479" i="2" s="1"/>
  <c r="G479" i="2" s="1"/>
  <c r="F333" i="2" a="1"/>
  <c r="F333" i="2" s="1"/>
  <c r="G333" i="2" s="1"/>
  <c r="F315" i="2" a="1"/>
  <c r="F315" i="2" s="1"/>
  <c r="I315" i="2" s="1"/>
  <c r="F466" i="2" a="1"/>
  <c r="F466" i="2" s="1"/>
  <c r="H466" i="2" s="1"/>
  <c r="F338" i="2" a="1"/>
  <c r="F338" i="2" s="1"/>
  <c r="G338" i="2" s="1"/>
  <c r="F274" i="2" a="1"/>
  <c r="F274" i="2" s="1"/>
  <c r="G274" i="2" s="1"/>
  <c r="F210" i="2" a="1"/>
  <c r="F210" i="2" s="1"/>
  <c r="G210" i="2" s="1"/>
  <c r="F401" i="2" a="1"/>
  <c r="F401" i="2" s="1"/>
  <c r="G401" i="2" s="1"/>
  <c r="F305" i="2" a="1"/>
  <c r="F305" i="2" s="1"/>
  <c r="I305" i="2" s="1"/>
  <c r="F241" i="2" a="1"/>
  <c r="F241" i="2" s="1"/>
  <c r="G241" i="2" s="1"/>
  <c r="F426" i="2" a="1"/>
  <c r="F426" i="2" s="1"/>
  <c r="G426" i="2" s="1"/>
  <c r="F456" i="2" a="1"/>
  <c r="F456" i="2" s="1"/>
  <c r="H456" i="2" s="1"/>
  <c r="F392" i="2" a="1"/>
  <c r="F392" i="2" s="1"/>
  <c r="H392" i="2" s="1"/>
  <c r="F328" i="2" a="1"/>
  <c r="F328" i="2" s="1"/>
  <c r="H328" i="2" s="1"/>
  <c r="F264" i="2" a="1"/>
  <c r="F264" i="2" s="1"/>
  <c r="H264" i="2" s="1"/>
  <c r="F495" i="2" a="1"/>
  <c r="F495" i="2" s="1"/>
  <c r="H495" i="2" s="1"/>
  <c r="F303" i="2" a="1"/>
  <c r="F303" i="2" s="1"/>
  <c r="I303" i="2" s="1"/>
  <c r="F239" i="2" a="1"/>
  <c r="F239" i="2" s="1"/>
  <c r="H239" i="2" s="1"/>
  <c r="F434" i="2" a="1"/>
  <c r="F434" i="2" s="1"/>
  <c r="G434" i="2" s="1"/>
  <c r="F415" i="2" a="1"/>
  <c r="F415" i="2" s="1"/>
  <c r="I415" i="2" s="1"/>
  <c r="F478" i="2" a="1"/>
  <c r="F478" i="2" s="1"/>
  <c r="I478" i="2" s="1"/>
  <c r="F414" i="2" a="1"/>
  <c r="F414" i="2" s="1"/>
  <c r="I414" i="2" s="1"/>
  <c r="F350" i="2" a="1"/>
  <c r="F350" i="2" s="1"/>
  <c r="G350" i="2" s="1"/>
  <c r="F286" i="2" a="1"/>
  <c r="F286" i="2" s="1"/>
  <c r="H286" i="2" s="1"/>
  <c r="F222" i="2" a="1"/>
  <c r="F222" i="2" s="1"/>
  <c r="H222" i="2" s="1"/>
  <c r="F465" i="2" a="1"/>
  <c r="F465" i="2" s="1"/>
  <c r="I465" i="2" s="1"/>
  <c r="F375" i="2" a="1"/>
  <c r="F375" i="2" s="1"/>
  <c r="G375" i="2" s="1"/>
  <c r="F445" i="2" a="1"/>
  <c r="F445" i="2" s="1"/>
  <c r="G445" i="2" s="1"/>
  <c r="F381" i="2" a="1"/>
  <c r="F381" i="2" s="1"/>
  <c r="G381" i="2" s="1"/>
  <c r="F317" i="2" a="1"/>
  <c r="F317" i="2" s="1"/>
  <c r="I317" i="2" s="1"/>
  <c r="F253" i="2" a="1"/>
  <c r="F253" i="2" s="1"/>
  <c r="G253" i="2" s="1"/>
  <c r="F439" i="2" a="1"/>
  <c r="F439" i="2" s="1"/>
  <c r="I439" i="2" s="1"/>
  <c r="F444" i="2" a="1"/>
  <c r="F444" i="2" s="1"/>
  <c r="I444" i="2" s="1"/>
  <c r="F380" i="2" a="1"/>
  <c r="F380" i="2" s="1"/>
  <c r="G380" i="2" s="1"/>
  <c r="F316" i="2" a="1"/>
  <c r="F316" i="2" s="1"/>
  <c r="H316" i="2" s="1"/>
  <c r="F252" i="2" a="1"/>
  <c r="F252" i="2" s="1"/>
  <c r="I252" i="2" s="1"/>
  <c r="F280" i="2" a="1"/>
  <c r="F280" i="2" s="1"/>
  <c r="G280" i="2" s="1"/>
  <c r="F430" i="2" a="1"/>
  <c r="F430" i="2" s="1"/>
  <c r="G430" i="2" s="1"/>
  <c r="F450" i="2" a="1"/>
  <c r="F450" i="2" s="1"/>
  <c r="I450" i="2" s="1"/>
  <c r="F205" i="2" a="1"/>
  <c r="F205" i="2" s="1"/>
  <c r="G205" i="2" s="1"/>
  <c r="F396" i="2" a="1"/>
  <c r="F396" i="2" s="1"/>
  <c r="H396" i="2" s="1"/>
  <c r="F379" i="2" a="1"/>
  <c r="F379" i="2" s="1"/>
  <c r="H379" i="2" s="1"/>
  <c r="F251" i="2" a="1"/>
  <c r="F251" i="2" s="1"/>
  <c r="H251" i="2" s="1"/>
  <c r="F435" i="2" a="1"/>
  <c r="F435" i="2" s="1"/>
  <c r="G435" i="2" s="1"/>
  <c r="F371" i="2" a="1"/>
  <c r="F371" i="2" s="1"/>
  <c r="I371" i="2" s="1"/>
  <c r="F307" i="2" a="1"/>
  <c r="F307" i="2" s="1"/>
  <c r="I307" i="2" s="1"/>
  <c r="F243" i="2" a="1"/>
  <c r="F243" i="2" s="1"/>
  <c r="G243" i="2" s="1"/>
  <c r="F418" i="2" a="1"/>
  <c r="F418" i="2" s="1"/>
  <c r="G418" i="2" s="1"/>
  <c r="F330" i="2" a="1"/>
  <c r="F330" i="2" s="1"/>
  <c r="H330" i="2" s="1"/>
  <c r="F266" i="2" a="1"/>
  <c r="F266" i="2" s="1"/>
  <c r="G266" i="2" s="1"/>
  <c r="F202" i="2" a="1"/>
  <c r="F202" i="2" s="1"/>
  <c r="I202" i="2" s="1"/>
  <c r="F361" i="2" a="1"/>
  <c r="F361" i="2" s="1"/>
  <c r="I361" i="2" s="1"/>
  <c r="F297" i="2" a="1"/>
  <c r="F297" i="2" s="1"/>
  <c r="G297" i="2" s="1"/>
  <c r="F233" i="2" a="1"/>
  <c r="F233" i="2" s="1"/>
  <c r="G233" i="2" s="1"/>
  <c r="F489" i="2" a="1"/>
  <c r="F489" i="2" s="1"/>
  <c r="I489" i="2" s="1"/>
  <c r="F448" i="2" a="1"/>
  <c r="F448" i="2" s="1"/>
  <c r="G448" i="2" s="1"/>
  <c r="F384" i="2" a="1"/>
  <c r="F384" i="2" s="1"/>
  <c r="I384" i="2" s="1"/>
  <c r="F320" i="2" a="1"/>
  <c r="F320" i="2" s="1"/>
  <c r="I320" i="2" s="1"/>
  <c r="F256" i="2" a="1"/>
  <c r="F256" i="2" s="1"/>
  <c r="F475" i="2" a="1"/>
  <c r="F475" i="2" s="1"/>
  <c r="G475" i="2" s="1"/>
  <c r="F463" i="2" a="1"/>
  <c r="F463" i="2" s="1"/>
  <c r="H463" i="2" s="1"/>
  <c r="F295" i="2" a="1"/>
  <c r="F295" i="2" s="1"/>
  <c r="I295" i="2" s="1"/>
  <c r="F231" i="2" a="1"/>
  <c r="F231" i="2" s="1"/>
  <c r="H231" i="2" s="1"/>
  <c r="F497" i="2" a="1"/>
  <c r="F497" i="2" s="1"/>
  <c r="H497" i="2" s="1"/>
  <c r="F391" i="2" a="1"/>
  <c r="F391" i="2" s="1"/>
  <c r="H391" i="2" s="1"/>
  <c r="F470" i="2" a="1"/>
  <c r="F470" i="2" s="1"/>
  <c r="G470" i="2" s="1"/>
  <c r="F406" i="2" a="1"/>
  <c r="F406" i="2" s="1"/>
  <c r="I406" i="2" s="1"/>
  <c r="F342" i="2" a="1"/>
  <c r="F342" i="2" s="1"/>
  <c r="H342" i="2" s="1"/>
  <c r="F278" i="2" a="1"/>
  <c r="F278" i="2" s="1"/>
  <c r="G278" i="2" s="1"/>
  <c r="F214" i="2" a="1"/>
  <c r="F214" i="2" s="1"/>
  <c r="G214" i="2" s="1"/>
  <c r="F425" i="2" a="1"/>
  <c r="F425" i="2" s="1"/>
  <c r="G425" i="2" s="1"/>
  <c r="F351" i="2" a="1"/>
  <c r="F351" i="2" s="1"/>
  <c r="H351" i="2" s="1"/>
  <c r="F437" i="2" a="1"/>
  <c r="F437" i="2" s="1"/>
  <c r="H437" i="2" s="1"/>
  <c r="F373" i="2" a="1"/>
  <c r="F373" i="2" s="1"/>
  <c r="I373" i="2" s="1"/>
  <c r="F309" i="2" a="1"/>
  <c r="F309" i="2" s="1"/>
  <c r="G309" i="2" s="1"/>
  <c r="F245" i="2" a="1"/>
  <c r="F245" i="2" s="1"/>
  <c r="I245" i="2" s="1"/>
  <c r="F436" i="2" a="1"/>
  <c r="F436" i="2" s="1"/>
  <c r="G436" i="2" s="1"/>
  <c r="F372" i="2" a="1"/>
  <c r="F372" i="2" s="1"/>
  <c r="G372" i="2" s="1"/>
  <c r="F308" i="2" a="1"/>
  <c r="F308" i="2" s="1"/>
  <c r="G308" i="2" s="1"/>
  <c r="F244" i="2" a="1"/>
  <c r="F244" i="2" s="1"/>
  <c r="I244" i="2" s="1"/>
  <c r="F203" i="2" a="1"/>
  <c r="F203" i="2" s="1"/>
  <c r="G203" i="2" s="1"/>
  <c r="F467" i="2" a="1"/>
  <c r="F467" i="2" s="1"/>
  <c r="I467" i="2" s="1"/>
  <c r="F302" i="2" a="1"/>
  <c r="F302" i="2" s="1"/>
  <c r="I302" i="2" s="1"/>
  <c r="F423" i="2" a="1"/>
  <c r="F423" i="2" s="1"/>
  <c r="I423" i="2" s="1"/>
  <c r="F268" i="2" a="1"/>
  <c r="F268" i="2" s="1"/>
  <c r="I268" i="2" s="1"/>
  <c r="F427" i="2" a="1"/>
  <c r="F427" i="2" s="1"/>
  <c r="H427" i="2" s="1"/>
  <c r="F299" i="2" a="1"/>
  <c r="F299" i="2" s="1"/>
  <c r="H299" i="2" s="1"/>
  <c r="F386" i="2" a="1"/>
  <c r="F386" i="2" s="1"/>
  <c r="H386" i="2" s="1"/>
  <c r="F322" i="2" a="1"/>
  <c r="F322" i="2" s="1"/>
  <c r="H322" i="2" s="1"/>
  <c r="F258" i="2" a="1"/>
  <c r="F258" i="2" s="1"/>
  <c r="H258" i="2" s="1"/>
  <c r="F499" i="2" a="1"/>
  <c r="F499" i="2" s="1"/>
  <c r="G499" i="2" s="1"/>
  <c r="F353" i="2" a="1"/>
  <c r="F353" i="2" s="1"/>
  <c r="G353" i="2" s="1"/>
  <c r="F289" i="2" a="1"/>
  <c r="F289" i="2" s="1"/>
  <c r="I289" i="2" s="1"/>
  <c r="F225" i="2" a="1"/>
  <c r="F225" i="2" s="1"/>
  <c r="H225" i="2" s="1"/>
  <c r="F449" i="2" a="1"/>
  <c r="F449" i="2" s="1"/>
  <c r="H449" i="2" s="1"/>
  <c r="F440" i="2" a="1"/>
  <c r="F440" i="2" s="1"/>
  <c r="I440" i="2" s="1"/>
  <c r="F376" i="2" a="1"/>
  <c r="F376" i="2" s="1"/>
  <c r="I376" i="2" s="1"/>
  <c r="F312" i="2" a="1"/>
  <c r="F312" i="2" s="1"/>
  <c r="G312" i="2" s="1"/>
  <c r="F248" i="2" a="1"/>
  <c r="F248" i="2" s="1"/>
  <c r="G248" i="2" s="1"/>
  <c r="F490" i="2" a="1"/>
  <c r="F490" i="2" s="1"/>
  <c r="G490" i="2" s="1"/>
  <c r="F431" i="2" a="1"/>
  <c r="F431" i="2" s="1"/>
  <c r="I431" i="2" s="1"/>
  <c r="F287" i="2" a="1"/>
  <c r="F287" i="2" s="1"/>
  <c r="H287" i="2" s="1"/>
  <c r="F223" i="2" a="1"/>
  <c r="F223" i="2" s="1"/>
  <c r="H223" i="2" s="1"/>
  <c r="F457" i="2" a="1"/>
  <c r="F457" i="2" s="1"/>
  <c r="I457" i="2" s="1"/>
  <c r="F367" i="2" a="1"/>
  <c r="F367" i="2" s="1"/>
  <c r="G367" i="2" s="1"/>
  <c r="F462" i="2" a="1"/>
  <c r="F462" i="2" s="1"/>
  <c r="I462" i="2" s="1"/>
  <c r="F398" i="2" a="1"/>
  <c r="F398" i="2" s="1"/>
  <c r="H398" i="2" s="1"/>
  <c r="F334" i="2" a="1"/>
  <c r="F334" i="2" s="1"/>
  <c r="G334" i="2" s="1"/>
  <c r="F270" i="2" a="1"/>
  <c r="F270" i="2" s="1"/>
  <c r="I270" i="2" s="1"/>
  <c r="F206" i="2" a="1"/>
  <c r="F206" i="2" s="1"/>
  <c r="G206" i="2" s="1"/>
  <c r="F393" i="2" a="1"/>
  <c r="F393" i="2" s="1"/>
  <c r="G393" i="2" s="1"/>
  <c r="F493" i="2" a="1"/>
  <c r="F493" i="2" s="1"/>
  <c r="H493" i="2" s="1"/>
  <c r="F429" i="2" a="1"/>
  <c r="F429" i="2" s="1"/>
  <c r="I429" i="2" s="1"/>
  <c r="F365" i="2" a="1"/>
  <c r="F365" i="2" s="1"/>
  <c r="I365" i="2" s="1"/>
  <c r="F301" i="2" a="1"/>
  <c r="F301" i="2" s="1"/>
  <c r="G301" i="2" s="1"/>
  <c r="F237" i="2" a="1"/>
  <c r="F237" i="2" s="1"/>
  <c r="I237" i="2" s="1"/>
  <c r="F492" i="2" a="1"/>
  <c r="F492" i="2" s="1"/>
  <c r="G492" i="2" s="1"/>
  <c r="F428" i="2" a="1"/>
  <c r="F428" i="2" s="1"/>
  <c r="H428" i="2" s="1"/>
  <c r="F364" i="2" a="1"/>
  <c r="F364" i="2" s="1"/>
  <c r="G364" i="2" s="1"/>
  <c r="F300" i="2" a="1"/>
  <c r="F300" i="2" s="1"/>
  <c r="G300" i="2" s="1"/>
  <c r="F236" i="2" a="1"/>
  <c r="F236" i="2" s="1"/>
  <c r="I236" i="2" s="1"/>
  <c r="F216" i="2" a="1"/>
  <c r="F216" i="2" s="1"/>
  <c r="G216" i="2" s="1"/>
  <c r="F255" i="2" a="1"/>
  <c r="F255" i="2" s="1"/>
  <c r="G255" i="2" s="1"/>
  <c r="F366" i="2" a="1"/>
  <c r="F366" i="2" s="1"/>
  <c r="I366" i="2" s="1"/>
  <c r="F461" i="2" a="1"/>
  <c r="F461" i="2" s="1"/>
  <c r="G461" i="2" s="1"/>
  <c r="F451" i="2" a="1"/>
  <c r="F451" i="2" s="1"/>
  <c r="H451" i="2" s="1"/>
  <c r="F363" i="2" a="1"/>
  <c r="F363" i="2" s="1"/>
  <c r="I363" i="2" s="1"/>
  <c r="F235" i="2" a="1"/>
  <c r="F235" i="2" s="1"/>
  <c r="G235" i="2" s="1"/>
  <c r="F419" i="2" a="1"/>
  <c r="F419" i="2" s="1"/>
  <c r="H419" i="2" s="1"/>
  <c r="F355" i="2" a="1"/>
  <c r="F355" i="2" s="1"/>
  <c r="H355" i="2" s="1"/>
  <c r="F291" i="2" a="1"/>
  <c r="F291" i="2" s="1"/>
  <c r="H291" i="2" s="1"/>
  <c r="F227" i="2" a="1"/>
  <c r="F227" i="2" s="1"/>
  <c r="I227" i="2" s="1"/>
  <c r="F378" i="2" a="1"/>
  <c r="F378" i="2" s="1"/>
  <c r="H378" i="2" s="1"/>
  <c r="F314" i="2" a="1"/>
  <c r="F314" i="2" s="1"/>
  <c r="G314" i="2" s="1"/>
  <c r="F250" i="2" a="1"/>
  <c r="F250" i="2" s="1"/>
  <c r="H250" i="2" s="1"/>
  <c r="F443" i="2" a="1"/>
  <c r="F443" i="2" s="1"/>
  <c r="I443" i="2" s="1"/>
  <c r="F345" i="2" a="1"/>
  <c r="F345" i="2" s="1"/>
  <c r="G345" i="2" s="1"/>
  <c r="F281" i="2" a="1"/>
  <c r="F281" i="2" s="1"/>
  <c r="I281" i="2" s="1"/>
  <c r="F217" i="2" a="1"/>
  <c r="F217" i="2" s="1"/>
  <c r="I217" i="2" s="1"/>
  <c r="F409" i="2" a="1"/>
  <c r="F409" i="2" s="1"/>
  <c r="H409" i="2" s="1"/>
  <c r="F432" i="2" a="1"/>
  <c r="F432" i="2" s="1"/>
  <c r="I432" i="2" s="1"/>
  <c r="F368" i="2" a="1"/>
  <c r="F368" i="2" s="1"/>
  <c r="G368" i="2" s="1"/>
  <c r="F304" i="2" a="1"/>
  <c r="F304" i="2" s="1"/>
  <c r="G304" i="2" s="1"/>
  <c r="F240" i="2" a="1"/>
  <c r="F240" i="2" s="1"/>
  <c r="H240" i="2" s="1"/>
  <c r="F442" i="2" a="1"/>
  <c r="F442" i="2" s="1"/>
  <c r="H442" i="2" s="1"/>
  <c r="F407" i="2" a="1"/>
  <c r="F407" i="2" s="1"/>
  <c r="H407" i="2" s="1"/>
  <c r="F279" i="2" a="1"/>
  <c r="F279" i="2" s="1"/>
  <c r="G279" i="2" s="1"/>
  <c r="F215" i="2" a="1"/>
  <c r="F215" i="2" s="1"/>
  <c r="H215" i="2" s="1"/>
  <c r="F417" i="2" a="1"/>
  <c r="F417" i="2" s="1"/>
  <c r="H417" i="2" s="1"/>
  <c r="F343" i="2" a="1"/>
  <c r="F343" i="2" s="1"/>
  <c r="I343" i="2" s="1"/>
  <c r="F454" i="2" a="1"/>
  <c r="F454" i="2" s="1"/>
  <c r="H454" i="2" s="1"/>
  <c r="F390" i="2" a="1"/>
  <c r="F390" i="2" s="1"/>
  <c r="G390" i="2" s="1"/>
  <c r="F326" i="2" a="1"/>
  <c r="F326" i="2" s="1"/>
  <c r="I326" i="2" s="1"/>
  <c r="F262" i="2" a="1"/>
  <c r="F262" i="2" s="1"/>
  <c r="G262" i="2" s="1"/>
  <c r="F496" i="2" a="1"/>
  <c r="F496" i="2" s="1"/>
  <c r="G496" i="2" s="1"/>
  <c r="F485" i="2" a="1"/>
  <c r="F485" i="2" s="1"/>
  <c r="I485" i="2" s="1"/>
  <c r="F421" i="2" a="1"/>
  <c r="F421" i="2" s="1"/>
  <c r="I421" i="2" s="1"/>
  <c r="F357" i="2" a="1"/>
  <c r="F357" i="2" s="1"/>
  <c r="G357" i="2" s="1"/>
  <c r="F293" i="2" a="1"/>
  <c r="F293" i="2" s="1"/>
  <c r="I293" i="2" s="1"/>
  <c r="F229" i="2" a="1"/>
  <c r="F229" i="2" s="1"/>
  <c r="H229" i="2" s="1"/>
  <c r="F484" i="2" a="1"/>
  <c r="F484" i="2" s="1"/>
  <c r="G484" i="2" s="1"/>
  <c r="F420" i="2" a="1"/>
  <c r="F420" i="2" s="1"/>
  <c r="H420" i="2" s="1"/>
  <c r="F356" i="2" a="1"/>
  <c r="F356" i="2" s="1"/>
  <c r="G356" i="2" s="1"/>
  <c r="F292" i="2" a="1"/>
  <c r="F292" i="2" s="1"/>
  <c r="G292" i="2" s="1"/>
  <c r="F228" i="2" a="1"/>
  <c r="F228" i="2" s="1"/>
  <c r="I228" i="2" s="1"/>
  <c r="F331" i="2" a="1"/>
  <c r="F331" i="2" s="1"/>
  <c r="I331" i="2" s="1"/>
  <c r="F226" i="2" a="1"/>
  <c r="F226" i="2" s="1"/>
  <c r="I226" i="2" s="1"/>
  <c r="F257" i="2" a="1"/>
  <c r="F257" i="2" s="1"/>
  <c r="H257" i="2" s="1"/>
  <c r="F344" i="2" a="1"/>
  <c r="F344" i="2" s="1"/>
  <c r="I344" i="2" s="1"/>
  <c r="F433" i="2" a="1"/>
  <c r="F433" i="2" s="1"/>
  <c r="I433" i="2" s="1"/>
  <c r="F494" i="2" a="1"/>
  <c r="F494" i="2" s="1"/>
  <c r="H494" i="2" s="1"/>
  <c r="F269" i="2" a="1"/>
  <c r="F269" i="2" s="1"/>
  <c r="I269" i="2" s="1"/>
  <c r="F460" i="2" a="1"/>
  <c r="F460" i="2" s="1"/>
  <c r="I460" i="2" s="1"/>
  <c r="F411" i="2" a="1"/>
  <c r="F411" i="2" s="1"/>
  <c r="G411" i="2" s="1"/>
  <c r="F347" i="2" a="1"/>
  <c r="F347" i="2" s="1"/>
  <c r="G347" i="2" s="1"/>
  <c r="F283" i="2" a="1"/>
  <c r="F283" i="2" s="1"/>
  <c r="H283" i="2" s="1"/>
  <c r="F219" i="2" a="1"/>
  <c r="F219" i="2" s="1"/>
  <c r="G219" i="2" s="1"/>
  <c r="F370" i="2" a="1"/>
  <c r="F370" i="2" s="1"/>
  <c r="G370" i="2" s="1"/>
  <c r="F306" i="2" a="1"/>
  <c r="F306" i="2" s="1"/>
  <c r="I306" i="2" s="1"/>
  <c r="F242" i="2" a="1"/>
  <c r="F242" i="2" s="1"/>
  <c r="I242" i="2" s="1"/>
  <c r="F458" i="2" a="1"/>
  <c r="F458" i="2" s="1"/>
  <c r="G458" i="2" s="1"/>
  <c r="F337" i="2" a="1"/>
  <c r="F337" i="2" s="1"/>
  <c r="H337" i="2" s="1"/>
  <c r="F273" i="2" a="1"/>
  <c r="F273" i="2" s="1"/>
  <c r="G273" i="2" s="1"/>
  <c r="F209" i="2" a="1"/>
  <c r="F209" i="2" s="1"/>
  <c r="H209" i="2" s="1"/>
  <c r="F369" i="2" a="1"/>
  <c r="F369" i="2" s="1"/>
  <c r="H369" i="2" s="1"/>
  <c r="F424" i="2" a="1"/>
  <c r="F424" i="2" s="1"/>
  <c r="I424" i="2" s="1"/>
  <c r="F360" i="2" a="1"/>
  <c r="F360" i="2" s="1"/>
  <c r="G360" i="2" s="1"/>
  <c r="F296" i="2" a="1"/>
  <c r="F296" i="2" s="1"/>
  <c r="I296" i="2" s="1"/>
  <c r="F232" i="2" a="1"/>
  <c r="F232" i="2" s="1"/>
  <c r="H232" i="2" s="1"/>
  <c r="F394" i="2" a="1"/>
  <c r="F394" i="2" s="1"/>
  <c r="H394" i="2" s="1"/>
  <c r="F383" i="2" a="1"/>
  <c r="F383" i="2" s="1"/>
  <c r="H383" i="2" s="1"/>
  <c r="F271" i="2" a="1"/>
  <c r="F271" i="2" s="1"/>
  <c r="H271" i="2" s="1"/>
  <c r="F207" i="2" a="1"/>
  <c r="F207" i="2" s="1"/>
  <c r="H207" i="2" s="1"/>
  <c r="F377" i="2" a="1"/>
  <c r="F377" i="2" s="1"/>
  <c r="G377" i="2" s="1"/>
  <c r="F327" i="2" a="1"/>
  <c r="F327" i="2" s="1"/>
  <c r="H327" i="2" s="1"/>
  <c r="F446" i="2" a="1"/>
  <c r="F446" i="2" s="1"/>
  <c r="H446" i="2" s="1"/>
  <c r="F382" i="2" a="1"/>
  <c r="F382" i="2" s="1"/>
  <c r="G382" i="2" s="1"/>
  <c r="F318" i="2" a="1"/>
  <c r="F318" i="2" s="1"/>
  <c r="H318" i="2" s="1"/>
  <c r="F254" i="2" a="1"/>
  <c r="F254" i="2" s="1"/>
  <c r="I254" i="2" s="1"/>
  <c r="F491" i="2" a="1"/>
  <c r="F491" i="2" s="1"/>
  <c r="H491" i="2" s="1"/>
  <c r="F487" i="2" a="1"/>
  <c r="F487" i="2" s="1"/>
  <c r="I487" i="2" s="1"/>
  <c r="F477" i="2" a="1"/>
  <c r="F477" i="2" s="1"/>
  <c r="G477" i="2" s="1"/>
  <c r="F413" i="2" a="1"/>
  <c r="F413" i="2" s="1"/>
  <c r="I413" i="2" s="1"/>
  <c r="F349" i="2" a="1"/>
  <c r="F349" i="2" s="1"/>
  <c r="H349" i="2" s="1"/>
  <c r="F285" i="2" a="1"/>
  <c r="F285" i="2" s="1"/>
  <c r="I285" i="2" s="1"/>
  <c r="F221" i="2" a="1"/>
  <c r="F221" i="2" s="1"/>
  <c r="H221" i="2" s="1"/>
  <c r="F476" i="2" a="1"/>
  <c r="F476" i="2" s="1"/>
  <c r="G476" i="2" s="1"/>
  <c r="F412" i="2" a="1"/>
  <c r="F412" i="2" s="1"/>
  <c r="I412" i="2" s="1"/>
  <c r="F348" i="2" a="1"/>
  <c r="F348" i="2" s="1"/>
  <c r="H348" i="2" s="1"/>
  <c r="F284" i="2" a="1"/>
  <c r="F284" i="2" s="1"/>
  <c r="I284" i="2" s="1"/>
  <c r="F220" i="2" a="1"/>
  <c r="F220" i="2" s="1"/>
  <c r="H220" i="2" s="1"/>
  <c r="F395" i="2" a="1"/>
  <c r="F395" i="2" s="1"/>
  <c r="I395" i="2" s="1"/>
  <c r="F354" i="2" a="1"/>
  <c r="F354" i="2" s="1"/>
  <c r="G354" i="2" s="1"/>
  <c r="F459" i="2" a="1"/>
  <c r="F459" i="2" s="1"/>
  <c r="G459" i="2" s="1"/>
  <c r="A346" i="2" a="1"/>
  <c r="A346" i="2" s="1"/>
  <c r="F403" i="2" a="1"/>
  <c r="F403" i="2" s="1"/>
  <c r="I403" i="2" s="1"/>
  <c r="F339" i="2" a="1"/>
  <c r="F339" i="2" s="1"/>
  <c r="I339" i="2" s="1"/>
  <c r="F275" i="2" a="1"/>
  <c r="F275" i="2" s="1"/>
  <c r="H275" i="2" s="1"/>
  <c r="F211" i="2" a="1"/>
  <c r="F211" i="2" s="1"/>
  <c r="I211" i="2" s="1"/>
  <c r="F362" i="2" a="1"/>
  <c r="F362" i="2" s="1"/>
  <c r="H362" i="2" s="1"/>
  <c r="F298" i="2" a="1"/>
  <c r="F298" i="2" s="1"/>
  <c r="I298" i="2" s="1"/>
  <c r="F234" i="2" a="1"/>
  <c r="F234" i="2" s="1"/>
  <c r="H234" i="2" s="1"/>
  <c r="F410" i="2" a="1"/>
  <c r="F410" i="2" s="1"/>
  <c r="I410" i="2" s="1"/>
  <c r="F329" i="2" a="1"/>
  <c r="F329" i="2" s="1"/>
  <c r="H329" i="2" s="1"/>
  <c r="F265" i="2" a="1"/>
  <c r="F265" i="2" s="1"/>
  <c r="H265" i="2" s="1"/>
  <c r="F201" i="2" a="1"/>
  <c r="F201" i="2" s="1"/>
  <c r="G201" i="2" s="1"/>
  <c r="F480" i="2" a="1"/>
  <c r="F480" i="2" s="1"/>
  <c r="G480" i="2" s="1"/>
  <c r="F416" i="2" a="1"/>
  <c r="F416" i="2" s="1"/>
  <c r="G416" i="2" s="1"/>
  <c r="F352" i="2" a="1"/>
  <c r="F352" i="2" s="1"/>
  <c r="I352" i="2" s="1"/>
  <c r="F288" i="2" a="1"/>
  <c r="F288" i="2" s="1"/>
  <c r="G288" i="2" s="1"/>
  <c r="F224" i="2" a="1"/>
  <c r="F224" i="2" s="1"/>
  <c r="I224" i="2" s="1"/>
  <c r="F473" i="2" a="1"/>
  <c r="F473" i="2" s="1"/>
  <c r="H473" i="2" s="1"/>
  <c r="F359" i="2" a="1"/>
  <c r="F359" i="2" s="1"/>
  <c r="I359" i="2" s="1"/>
  <c r="F263" i="2" a="1"/>
  <c r="F263" i="2" s="1"/>
  <c r="H263" i="2" s="1"/>
  <c r="F488" i="2" a="1"/>
  <c r="F488" i="2" s="1"/>
  <c r="H488" i="2" s="1"/>
  <c r="F311" i="2" a="1"/>
  <c r="F311" i="2" s="1"/>
  <c r="I311" i="2" s="1"/>
  <c r="F438" i="2" a="1"/>
  <c r="F438" i="2" s="1"/>
  <c r="I438" i="2" s="1"/>
  <c r="F374" i="2" a="1"/>
  <c r="F374" i="2" s="1"/>
  <c r="I374" i="2" s="1"/>
  <c r="F310" i="2" a="1"/>
  <c r="F310" i="2" s="1"/>
  <c r="I310" i="2" s="1"/>
  <c r="F246" i="2" a="1"/>
  <c r="F246" i="2" s="1"/>
  <c r="I246" i="2" s="1"/>
  <c r="F498" i="2" a="1"/>
  <c r="F498" i="2" s="1"/>
  <c r="H498" i="2" s="1"/>
  <c r="F455" i="2" a="1"/>
  <c r="F455" i="2" s="1"/>
  <c r="H455" i="2" s="1"/>
  <c r="F469" i="2" a="1"/>
  <c r="F469" i="2" s="1"/>
  <c r="G469" i="2" s="1"/>
  <c r="F405" i="2" a="1"/>
  <c r="F405" i="2" s="1"/>
  <c r="G405" i="2" s="1"/>
  <c r="F341" i="2" a="1"/>
  <c r="F341" i="2" s="1"/>
  <c r="G341" i="2" s="1"/>
  <c r="F277" i="2" a="1"/>
  <c r="F277" i="2" s="1"/>
  <c r="I277" i="2" s="1"/>
  <c r="F213" i="2" a="1"/>
  <c r="F213" i="2" s="1"/>
  <c r="G213" i="2" s="1"/>
  <c r="F468" i="2" a="1"/>
  <c r="F468" i="2" s="1"/>
  <c r="H468" i="2" s="1"/>
  <c r="F404" i="2" a="1"/>
  <c r="F404" i="2" s="1"/>
  <c r="G404" i="2" s="1"/>
  <c r="F340" i="2" a="1"/>
  <c r="F340" i="2" s="1"/>
  <c r="H340" i="2" s="1"/>
  <c r="F276" i="2" a="1"/>
  <c r="F276" i="2" s="1"/>
  <c r="G276" i="2" s="1"/>
  <c r="F212" i="2" a="1"/>
  <c r="F212" i="2" s="1"/>
  <c r="H212" i="2" s="1"/>
  <c r="F481" i="2" a="1"/>
  <c r="F481" i="2" s="1"/>
  <c r="H481" i="2" s="1"/>
  <c r="F472" i="2" a="1"/>
  <c r="F472" i="2" s="1"/>
  <c r="I472" i="2" s="1"/>
  <c r="F238" i="2" a="1"/>
  <c r="F238" i="2" s="1"/>
  <c r="G238" i="2" s="1"/>
  <c r="F332" i="2" a="1"/>
  <c r="F332" i="2" s="1"/>
  <c r="G332" i="2" s="1"/>
  <c r="F204" i="2" a="1"/>
  <c r="F204" i="2" s="1"/>
  <c r="I204" i="2" s="1"/>
  <c r="F387" i="2" a="1"/>
  <c r="F387" i="2" s="1"/>
  <c r="H387" i="2" s="1"/>
  <c r="F323" i="2" a="1"/>
  <c r="F323" i="2" s="1"/>
  <c r="I323" i="2" s="1"/>
  <c r="F259" i="2" a="1"/>
  <c r="F259" i="2" s="1"/>
  <c r="I259" i="2" s="1"/>
  <c r="F483" i="2" a="1"/>
  <c r="F483" i="2" s="1"/>
  <c r="H483" i="2" s="1"/>
  <c r="F346" i="2" a="1"/>
  <c r="F346" i="2" s="1"/>
  <c r="G346" i="2" s="1"/>
  <c r="F282" i="2" a="1"/>
  <c r="F282" i="2" s="1"/>
  <c r="G282" i="2" s="1"/>
  <c r="F218" i="2" a="1"/>
  <c r="F218" i="2" s="1"/>
  <c r="I218" i="2" s="1"/>
  <c r="F441" i="2" a="1"/>
  <c r="F441" i="2" s="1"/>
  <c r="I441" i="2" s="1"/>
  <c r="F313" i="2" a="1"/>
  <c r="F313" i="2" s="1"/>
  <c r="G313" i="2" s="1"/>
  <c r="F249" i="2" a="1"/>
  <c r="F249" i="2" s="1"/>
  <c r="G249" i="2" s="1"/>
  <c r="F482" i="2" a="1"/>
  <c r="F482" i="2" s="1"/>
  <c r="G482" i="2" s="1"/>
  <c r="F464" i="2" a="1"/>
  <c r="F464" i="2" s="1"/>
  <c r="I464" i="2" s="1"/>
  <c r="F400" i="2" a="1"/>
  <c r="F400" i="2" s="1"/>
  <c r="G400" i="2" s="1"/>
  <c r="F336" i="2" a="1"/>
  <c r="F336" i="2" s="1"/>
  <c r="I336" i="2" s="1"/>
  <c r="F272" i="2" a="1"/>
  <c r="F272" i="2" s="1"/>
  <c r="G272" i="2" s="1"/>
  <c r="F208" i="2" a="1"/>
  <c r="F208" i="2" s="1"/>
  <c r="I208" i="2" s="1"/>
  <c r="F385" i="2" a="1"/>
  <c r="F385" i="2" s="1"/>
  <c r="H385" i="2" s="1"/>
  <c r="F319" i="2" a="1"/>
  <c r="F319" i="2" s="1"/>
  <c r="H319" i="2" s="1"/>
  <c r="F247" i="2" a="1"/>
  <c r="F247" i="2" s="1"/>
  <c r="H247" i="2" s="1"/>
  <c r="F474" i="2" a="1"/>
  <c r="F474" i="2" s="1"/>
  <c r="I474" i="2" s="1"/>
  <c r="F447" i="2" a="1"/>
  <c r="F447" i="2" s="1"/>
  <c r="H447" i="2" s="1"/>
  <c r="F486" i="2" a="1"/>
  <c r="F486" i="2" s="1"/>
  <c r="G486" i="2" s="1"/>
  <c r="F422" i="2" a="1"/>
  <c r="F422" i="2" s="1"/>
  <c r="H422" i="2" s="1"/>
  <c r="F358" i="2" a="1"/>
  <c r="F358" i="2" s="1"/>
  <c r="I358" i="2" s="1"/>
  <c r="F294" i="2" a="1"/>
  <c r="F294" i="2" s="1"/>
  <c r="G294" i="2" s="1"/>
  <c r="F230" i="2" a="1"/>
  <c r="F230" i="2" s="1"/>
  <c r="I230" i="2" s="1"/>
  <c r="F402" i="2" a="1"/>
  <c r="F402" i="2" s="1"/>
  <c r="I402" i="2" s="1"/>
  <c r="F399" i="2" a="1"/>
  <c r="F399" i="2" s="1"/>
  <c r="H399" i="2" s="1"/>
  <c r="F453" i="2" a="1"/>
  <c r="F453" i="2" s="1"/>
  <c r="G453" i="2" s="1"/>
  <c r="F389" i="2" a="1"/>
  <c r="F389" i="2" s="1"/>
  <c r="G389" i="2" s="1"/>
  <c r="F325" i="2" a="1"/>
  <c r="F325" i="2" s="1"/>
  <c r="H325" i="2" s="1"/>
  <c r="F261" i="2" a="1"/>
  <c r="F261" i="2" s="1"/>
  <c r="I261" i="2" s="1"/>
  <c r="F471" i="2" a="1"/>
  <c r="F471" i="2" s="1"/>
  <c r="H471" i="2" s="1"/>
  <c r="F452" i="2" a="1"/>
  <c r="F452" i="2" s="1"/>
  <c r="G452" i="2" s="1"/>
  <c r="F388" i="2" a="1"/>
  <c r="F388" i="2" s="1"/>
  <c r="I388" i="2" s="1"/>
  <c r="F324" i="2" a="1"/>
  <c r="F324" i="2" s="1"/>
  <c r="H324" i="2" s="1"/>
  <c r="F260" i="2" a="1"/>
  <c r="F260" i="2" s="1"/>
  <c r="I260" i="2" s="1"/>
  <c r="A408" i="2" a="1"/>
  <c r="A408" i="2" s="1"/>
  <c r="A370" i="2" a="1"/>
  <c r="A370" i="2" s="1"/>
  <c r="A454" i="2" a="1"/>
  <c r="A454" i="2" s="1"/>
  <c r="A321" i="2" a="1"/>
  <c r="A321" i="2" s="1"/>
  <c r="A281" i="2" a="1"/>
  <c r="A281" i="2" s="1"/>
  <c r="A469" i="2" a="1"/>
  <c r="A469" i="2" s="1"/>
  <c r="A381" i="2" a="1"/>
  <c r="A381" i="2" s="1"/>
  <c r="A401" i="2" a="1"/>
  <c r="A401" i="2" s="1"/>
  <c r="A449" i="2" a="1"/>
  <c r="A449" i="2" s="1"/>
  <c r="A416" i="2" a="1"/>
  <c r="A416" i="2" s="1"/>
  <c r="A202" i="2" a="1"/>
  <c r="A202" i="2" s="1"/>
  <c r="A489" i="2" a="1"/>
  <c r="A489" i="2" s="1"/>
  <c r="A349" i="2" a="1"/>
  <c r="A349" i="2" s="1"/>
  <c r="A272" i="2" a="1"/>
  <c r="A272" i="2" s="1"/>
  <c r="A439" i="2" a="1"/>
  <c r="A439" i="2" s="1"/>
  <c r="A446" i="2" a="1"/>
  <c r="A446" i="2" s="1"/>
  <c r="A382" i="2" a="1"/>
  <c r="A382" i="2" s="1"/>
  <c r="A318" i="2" a="1"/>
  <c r="A318" i="2" s="1"/>
  <c r="A254" i="2" a="1"/>
  <c r="A254" i="2" s="1"/>
  <c r="A333" i="2" a="1"/>
  <c r="A333" i="2" s="1"/>
  <c r="A269" i="2" a="1"/>
  <c r="A269" i="2" s="1"/>
  <c r="A205" i="2" a="1"/>
  <c r="A205" i="2" s="1"/>
  <c r="A412" i="2" a="1"/>
  <c r="A412" i="2" s="1"/>
  <c r="A284" i="2" a="1"/>
  <c r="A284" i="2" s="1"/>
  <c r="A220" i="2" a="1"/>
  <c r="A220" i="2" s="1"/>
  <c r="A340" i="2" a="1"/>
  <c r="A340" i="2" s="1"/>
  <c r="A467" i="2" a="1"/>
  <c r="A467" i="2" s="1"/>
  <c r="A403" i="2" a="1"/>
  <c r="A403" i="2" s="1"/>
  <c r="A339" i="2" a="1"/>
  <c r="A339" i="2" s="1"/>
  <c r="A275" i="2" a="1"/>
  <c r="A275" i="2" s="1"/>
  <c r="A211" i="2" a="1"/>
  <c r="A211" i="2" s="1"/>
  <c r="A368" i="2" a="1"/>
  <c r="A368" i="2" s="1"/>
  <c r="A328" i="2" a="1"/>
  <c r="A328" i="2" s="1"/>
  <c r="A479" i="2" a="1"/>
  <c r="A479" i="2" s="1"/>
  <c r="A383" i="2" a="1"/>
  <c r="A383" i="2" s="1"/>
  <c r="A319" i="2" a="1"/>
  <c r="A319" i="2" s="1"/>
  <c r="A255" i="2" a="1"/>
  <c r="A255" i="2" s="1"/>
  <c r="A313" i="2" a="1"/>
  <c r="A313" i="2" s="1"/>
  <c r="A234" i="2" a="1"/>
  <c r="A234" i="2" s="1"/>
  <c r="A455" i="2" a="1"/>
  <c r="A455" i="2" s="1"/>
  <c r="A453" i="2" a="1"/>
  <c r="A453" i="2" s="1"/>
  <c r="A496" i="2" a="1"/>
  <c r="A496" i="2" s="1"/>
  <c r="A361" i="2" a="1"/>
  <c r="A361" i="2" s="1"/>
  <c r="A357" i="2" a="1"/>
  <c r="A357" i="2" s="1"/>
  <c r="A417" i="2" a="1"/>
  <c r="A417" i="2" s="1"/>
  <c r="A397" i="2" a="1"/>
  <c r="A397" i="2" s="1"/>
  <c r="A474" i="2" a="1"/>
  <c r="A474" i="2" s="1"/>
  <c r="A322" i="2" a="1"/>
  <c r="A322" i="2" s="1"/>
  <c r="A429" i="2" a="1"/>
  <c r="A429" i="2" s="1"/>
  <c r="A248" i="2" a="1"/>
  <c r="A248" i="2" s="1"/>
  <c r="A415" i="2" a="1"/>
  <c r="A415" i="2" s="1"/>
  <c r="A438" i="2" a="1"/>
  <c r="A438" i="2" s="1"/>
  <c r="A374" i="2" a="1"/>
  <c r="A374" i="2" s="1"/>
  <c r="A310" i="2" a="1"/>
  <c r="A310" i="2" s="1"/>
  <c r="A246" i="2" a="1"/>
  <c r="A246" i="2" s="1"/>
  <c r="A325" i="2" a="1"/>
  <c r="A325" i="2" s="1"/>
  <c r="A261" i="2" a="1"/>
  <c r="A261" i="2" s="1"/>
  <c r="A476" i="2" a="1"/>
  <c r="A476" i="2" s="1"/>
  <c r="A396" i="2" a="1"/>
  <c r="A396" i="2" s="1"/>
  <c r="A276" i="2" a="1"/>
  <c r="A276" i="2" s="1"/>
  <c r="A212" i="2" a="1"/>
  <c r="A212" i="2" s="1"/>
  <c r="A324" i="2" a="1"/>
  <c r="A324" i="2" s="1"/>
  <c r="A459" i="2" a="1"/>
  <c r="A459" i="2" s="1"/>
  <c r="A395" i="2" a="1"/>
  <c r="A395" i="2" s="1"/>
  <c r="A331" i="2" a="1"/>
  <c r="A331" i="2" s="1"/>
  <c r="A267" i="2" a="1"/>
  <c r="A267" i="2" s="1"/>
  <c r="A203" i="2" a="1"/>
  <c r="A203" i="2" s="1"/>
  <c r="A344" i="2" a="1"/>
  <c r="A344" i="2" s="1"/>
  <c r="A304" i="2" a="1"/>
  <c r="A304" i="2" s="1"/>
  <c r="A463" i="2" a="1"/>
  <c r="A463" i="2" s="1"/>
  <c r="A375" i="2" a="1"/>
  <c r="A375" i="2" s="1"/>
  <c r="A311" i="2" a="1"/>
  <c r="A311" i="2" s="1"/>
  <c r="A247" i="2" a="1"/>
  <c r="A247" i="2" s="1"/>
  <c r="A497" i="2" a="1"/>
  <c r="A497" i="2" s="1"/>
  <c r="A481" i="2" a="1"/>
  <c r="A481" i="2" s="1"/>
  <c r="A326" i="2" a="1"/>
  <c r="A326" i="2" s="1"/>
  <c r="A365" i="2" a="1"/>
  <c r="A365" i="2" s="1"/>
  <c r="A437" i="2" a="1"/>
  <c r="A437" i="2" s="1"/>
  <c r="A485" i="2" a="1"/>
  <c r="A485" i="2" s="1"/>
  <c r="A421" i="2" a="1"/>
  <c r="A421" i="2" s="1"/>
  <c r="A394" i="2" a="1"/>
  <c r="A394" i="2" s="1"/>
  <c r="A458" i="2" a="1"/>
  <c r="A458" i="2" s="1"/>
  <c r="A290" i="2" a="1"/>
  <c r="A290" i="2" s="1"/>
  <c r="A297" i="2" a="1"/>
  <c r="A297" i="2" s="1"/>
  <c r="A224" i="2" a="1"/>
  <c r="A224" i="2" s="1"/>
  <c r="A494" i="2" a="1"/>
  <c r="A494" i="2" s="1"/>
  <c r="A430" i="2" a="1"/>
  <c r="A430" i="2" s="1"/>
  <c r="A366" i="2" a="1"/>
  <c r="A366" i="2" s="1"/>
  <c r="A302" i="2" a="1"/>
  <c r="A302" i="2" s="1"/>
  <c r="A238" i="2" a="1"/>
  <c r="A238" i="2" s="1"/>
  <c r="A317" i="2" a="1"/>
  <c r="A317" i="2" s="1"/>
  <c r="A253" i="2" a="1"/>
  <c r="A253" i="2" s="1"/>
  <c r="A468" i="2" a="1"/>
  <c r="A468" i="2" s="1"/>
  <c r="A380" i="2" a="1"/>
  <c r="A380" i="2" s="1"/>
  <c r="A268" i="2" a="1"/>
  <c r="A268" i="2" s="1"/>
  <c r="A204" i="2" a="1"/>
  <c r="A204" i="2" s="1"/>
  <c r="A308" i="2" a="1"/>
  <c r="A308" i="2" s="1"/>
  <c r="A451" i="2" a="1"/>
  <c r="A451" i="2" s="1"/>
  <c r="A387" i="2" a="1"/>
  <c r="A387" i="2" s="1"/>
  <c r="A323" i="2" a="1"/>
  <c r="A323" i="2" s="1"/>
  <c r="A259" i="2" a="1"/>
  <c r="A259" i="2" s="1"/>
  <c r="A320" i="2" a="1"/>
  <c r="A320" i="2" s="1"/>
  <c r="A288" i="2" a="1"/>
  <c r="A288" i="2" s="1"/>
  <c r="A447" i="2" a="1"/>
  <c r="A447" i="2" s="1"/>
  <c r="A367" i="2" a="1"/>
  <c r="A367" i="2" s="1"/>
  <c r="A303" i="2" a="1"/>
  <c r="A303" i="2" s="1"/>
  <c r="A239" i="2" a="1"/>
  <c r="A239" i="2" s="1"/>
  <c r="A433" i="2" a="1"/>
  <c r="A433" i="2" s="1"/>
  <c r="A353" i="2" a="1"/>
  <c r="A353" i="2" s="1"/>
  <c r="A386" i="2" a="1"/>
  <c r="A386" i="2" s="1"/>
  <c r="A490" i="2" a="1"/>
  <c r="A490" i="2" s="1"/>
  <c r="A249" i="2" a="1"/>
  <c r="A249" i="2" s="1"/>
  <c r="A345" i="2" a="1"/>
  <c r="A345" i="2" s="1"/>
  <c r="A482" i="2" a="1"/>
  <c r="A482" i="2" s="1"/>
  <c r="A201" i="2" a="1"/>
  <c r="A201" i="2" s="1"/>
  <c r="A445" i="2" a="1"/>
  <c r="A445" i="2" s="1"/>
  <c r="A492" i="2" a="1"/>
  <c r="A492" i="2" s="1"/>
  <c r="A354" i="2" a="1"/>
  <c r="A354" i="2" s="1"/>
  <c r="A442" i="2" a="1"/>
  <c r="A442" i="2" s="1"/>
  <c r="A258" i="2" a="1"/>
  <c r="A258" i="2" s="1"/>
  <c r="A384" i="2" a="1"/>
  <c r="A384" i="2" s="1"/>
  <c r="A486" i="2" a="1"/>
  <c r="A486" i="2" s="1"/>
  <c r="A422" i="2" a="1"/>
  <c r="A422" i="2" s="1"/>
  <c r="A358" i="2" a="1"/>
  <c r="A358" i="2" s="1"/>
  <c r="A294" i="2" a="1"/>
  <c r="A294" i="2" s="1"/>
  <c r="A230" i="2" a="1"/>
  <c r="A230" i="2" s="1"/>
  <c r="A309" i="2" a="1"/>
  <c r="A309" i="2" s="1"/>
  <c r="A245" i="2" a="1"/>
  <c r="A245" i="2" s="1"/>
  <c r="A460" i="2" a="1"/>
  <c r="A460" i="2" s="1"/>
  <c r="A364" i="2" a="1"/>
  <c r="A364" i="2" s="1"/>
  <c r="A260" i="2" a="1"/>
  <c r="A260" i="2" s="1"/>
  <c r="A420" i="2" a="1"/>
  <c r="A420" i="2" s="1"/>
  <c r="A292" i="2" a="1"/>
  <c r="A292" i="2" s="1"/>
  <c r="A443" i="2" a="1"/>
  <c r="A443" i="2" s="1"/>
  <c r="A379" i="2" a="1"/>
  <c r="A379" i="2" s="1"/>
  <c r="A315" i="2" a="1"/>
  <c r="A315" i="2" s="1"/>
  <c r="A251" i="2" a="1"/>
  <c r="A251" i="2" s="1"/>
  <c r="A280" i="2" a="1"/>
  <c r="A280" i="2" s="1"/>
  <c r="A264" i="2" a="1"/>
  <c r="A264" i="2" s="1"/>
  <c r="A431" i="2" a="1"/>
  <c r="A431" i="2" s="1"/>
  <c r="A359" i="2" a="1"/>
  <c r="A359" i="2" s="1"/>
  <c r="A295" i="2" a="1"/>
  <c r="A295" i="2" s="1"/>
  <c r="A231" i="2" a="1"/>
  <c r="A231" i="2" s="1"/>
  <c r="A405" i="2" a="1"/>
  <c r="A405" i="2" s="1"/>
  <c r="A306" i="2" a="1"/>
  <c r="A306" i="2" s="1"/>
  <c r="A305" i="2" a="1"/>
  <c r="A305" i="2" s="1"/>
  <c r="A329" i="2" a="1"/>
  <c r="A329" i="2" s="1"/>
  <c r="D5" i="2"/>
  <c r="A456" i="2" a="1"/>
  <c r="A456" i="2" s="1"/>
  <c r="A282" i="2" a="1"/>
  <c r="A282" i="2" s="1"/>
  <c r="A265" i="2" a="1"/>
  <c r="A265" i="2" s="1"/>
  <c r="A385" i="2" a="1"/>
  <c r="A385" i="2" s="1"/>
  <c r="A450" i="2" a="1"/>
  <c r="A450" i="2" s="1"/>
  <c r="A274" i="2" a="1"/>
  <c r="A274" i="2" s="1"/>
  <c r="A488" i="2" a="1"/>
  <c r="A488" i="2" s="1"/>
  <c r="A273" i="2" a="1"/>
  <c r="A273" i="2" s="1"/>
  <c r="A480" i="2" a="1"/>
  <c r="A480" i="2" s="1"/>
  <c r="A330" i="2" a="1"/>
  <c r="A330" i="2" s="1"/>
  <c r="A477" i="2" a="1"/>
  <c r="A477" i="2" s="1"/>
  <c r="A426" i="2" a="1"/>
  <c r="A426" i="2" s="1"/>
  <c r="A226" i="2" a="1"/>
  <c r="A226" i="2" s="1"/>
  <c r="A289" i="2" a="1"/>
  <c r="A289" i="2" s="1"/>
  <c r="A360" i="2" a="1"/>
  <c r="A360" i="2" s="1"/>
  <c r="A478" i="2" a="1"/>
  <c r="A478" i="2" s="1"/>
  <c r="A414" i="2" a="1"/>
  <c r="A414" i="2" s="1"/>
  <c r="A350" i="2" a="1"/>
  <c r="A350" i="2" s="1"/>
  <c r="A286" i="2" a="1"/>
  <c r="A286" i="2" s="1"/>
  <c r="A222" i="2" a="1"/>
  <c r="A222" i="2" s="1"/>
  <c r="A301" i="2" a="1"/>
  <c r="A301" i="2" s="1"/>
  <c r="A237" i="2" a="1"/>
  <c r="A237" i="2" s="1"/>
  <c r="A452" i="2" a="1"/>
  <c r="A452" i="2" s="1"/>
  <c r="A348" i="2" a="1"/>
  <c r="A348" i="2" s="1"/>
  <c r="A252" i="2" a="1"/>
  <c r="A252" i="2" s="1"/>
  <c r="A404" i="2" a="1"/>
  <c r="A404" i="2" s="1"/>
  <c r="A499" i="2" a="1"/>
  <c r="A499" i="2" s="1"/>
  <c r="A435" i="2" a="1"/>
  <c r="A435" i="2" s="1"/>
  <c r="A371" i="2" a="1"/>
  <c r="A371" i="2" s="1"/>
  <c r="A307" i="2" a="1"/>
  <c r="A307" i="2" s="1"/>
  <c r="A243" i="2" a="1"/>
  <c r="A243" i="2" s="1"/>
  <c r="A256" i="2" a="1"/>
  <c r="A256" i="2" s="1"/>
  <c r="A240" i="2" a="1"/>
  <c r="A240" i="2" s="1"/>
  <c r="A423" i="2" a="1"/>
  <c r="A423" i="2" s="1"/>
  <c r="A351" i="2" a="1"/>
  <c r="A351" i="2" s="1"/>
  <c r="A287" i="2" a="1"/>
  <c r="A287" i="2" s="1"/>
  <c r="A223" i="2" a="1"/>
  <c r="A223" i="2" s="1"/>
  <c r="A402" i="2" a="1"/>
  <c r="A402" i="2" s="1"/>
  <c r="A432" i="2" a="1"/>
  <c r="A432" i="2" s="1"/>
  <c r="A296" i="2" a="1"/>
  <c r="A296" i="2" s="1"/>
  <c r="A262" i="2" a="1"/>
  <c r="A262" i="2" s="1"/>
  <c r="A498" i="2" a="1"/>
  <c r="A498" i="2" s="1"/>
  <c r="A373" i="2" a="1"/>
  <c r="A373" i="2" s="1"/>
  <c r="A217" i="2" a="1"/>
  <c r="A217" i="2" s="1"/>
  <c r="A338" i="2" a="1"/>
  <c r="A338" i="2" s="1"/>
  <c r="A337" i="2" a="1"/>
  <c r="A337" i="2" s="1"/>
  <c r="A413" i="2" a="1"/>
  <c r="A413" i="2" s="1"/>
  <c r="A378" i="2" a="1"/>
  <c r="A378" i="2" s="1"/>
  <c r="A377" i="2" a="1"/>
  <c r="A377" i="2" s="1"/>
  <c r="A472" i="2" a="1"/>
  <c r="A472" i="2" s="1"/>
  <c r="A314" i="2" a="1"/>
  <c r="A314" i="2" s="1"/>
  <c r="A466" i="2" a="1"/>
  <c r="A466" i="2" s="1"/>
  <c r="A425" i="2" a="1"/>
  <c r="A425" i="2" s="1"/>
  <c r="A440" i="2" a="1"/>
  <c r="A440" i="2" s="1"/>
  <c r="A250" i="2" a="1"/>
  <c r="A250" i="2" s="1"/>
  <c r="A457" i="2" a="1"/>
  <c r="A457" i="2" s="1"/>
  <c r="A362" i="2" a="1"/>
  <c r="A362" i="2" s="1"/>
  <c r="A434" i="2" a="1"/>
  <c r="A434" i="2" s="1"/>
  <c r="A242" i="2" a="1"/>
  <c r="A242" i="2" s="1"/>
  <c r="A493" i="2" a="1"/>
  <c r="A493" i="2" s="1"/>
  <c r="A241" i="2" a="1"/>
  <c r="A241" i="2" s="1"/>
  <c r="A473" i="2" a="1"/>
  <c r="A473" i="2" s="1"/>
  <c r="A464" i="2" a="1"/>
  <c r="A464" i="2" s="1"/>
  <c r="A298" i="2" a="1"/>
  <c r="A298" i="2" s="1"/>
  <c r="A233" i="2" a="1"/>
  <c r="A233" i="2" s="1"/>
  <c r="A410" i="2" a="1"/>
  <c r="A410" i="2" s="1"/>
  <c r="A257" i="2" a="1"/>
  <c r="A257" i="2" s="1"/>
  <c r="A336" i="2" a="1"/>
  <c r="A336" i="2" s="1"/>
  <c r="A487" i="2" a="1"/>
  <c r="A487" i="2" s="1"/>
  <c r="A470" i="2" a="1"/>
  <c r="A470" i="2" s="1"/>
  <c r="A406" i="2" a="1"/>
  <c r="A406" i="2" s="1"/>
  <c r="A342" i="2" a="1"/>
  <c r="A342" i="2" s="1"/>
  <c r="A278" i="2" a="1"/>
  <c r="A278" i="2" s="1"/>
  <c r="A214" i="2" a="1"/>
  <c r="A214" i="2" s="1"/>
  <c r="A293" i="2" a="1"/>
  <c r="A293" i="2" s="1"/>
  <c r="A229" i="2" a="1"/>
  <c r="A229" i="2" s="1"/>
  <c r="A444" i="2" a="1"/>
  <c r="A444" i="2" s="1"/>
  <c r="A332" i="2" a="1"/>
  <c r="A332" i="2" s="1"/>
  <c r="A244" i="2" a="1"/>
  <c r="A244" i="2" s="1"/>
  <c r="A388" i="2" a="1"/>
  <c r="A388" i="2" s="1"/>
  <c r="A491" i="2" a="1"/>
  <c r="A491" i="2" s="1"/>
  <c r="A427" i="2" a="1"/>
  <c r="A427" i="2" s="1"/>
  <c r="A363" i="2" a="1"/>
  <c r="A363" i="2" s="1"/>
  <c r="A299" i="2" a="1"/>
  <c r="A299" i="2" s="1"/>
  <c r="A235" i="2" a="1"/>
  <c r="A235" i="2" s="1"/>
  <c r="A232" i="2" a="1"/>
  <c r="A232" i="2" s="1"/>
  <c r="A392" i="2" a="1"/>
  <c r="A392" i="2" s="1"/>
  <c r="A216" i="2" a="1"/>
  <c r="A216" i="2" s="1"/>
  <c r="A407" i="2" a="1"/>
  <c r="A407" i="2" s="1"/>
  <c r="A343" i="2" a="1"/>
  <c r="A343" i="2" s="1"/>
  <c r="A279" i="2" a="1"/>
  <c r="A279" i="2" s="1"/>
  <c r="A215" i="2" a="1"/>
  <c r="A215" i="2" s="1"/>
  <c r="A369" i="2" a="1"/>
  <c r="A369" i="2" s="1"/>
  <c r="A424" i="2" a="1"/>
  <c r="A424" i="2" s="1"/>
  <c r="A218" i="2" a="1"/>
  <c r="A218" i="2" s="1"/>
  <c r="A389" i="2" a="1"/>
  <c r="A389" i="2" s="1"/>
  <c r="A341" i="2" a="1"/>
  <c r="A341" i="2" s="1"/>
  <c r="A441" i="2" a="1"/>
  <c r="A441" i="2" s="1"/>
  <c r="A418" i="2" a="1"/>
  <c r="A418" i="2" s="1"/>
  <c r="A210" i="2" a="1"/>
  <c r="A210" i="2" s="1"/>
  <c r="A465" i="2" a="1"/>
  <c r="A465" i="2" s="1"/>
  <c r="A209" i="2" a="1"/>
  <c r="A209" i="2" s="1"/>
  <c r="A409" i="2" a="1"/>
  <c r="A409" i="2" s="1"/>
  <c r="A448" i="2" a="1"/>
  <c r="A448" i="2" s="1"/>
  <c r="A266" i="2" a="1"/>
  <c r="A266" i="2" s="1"/>
  <c r="A461" i="2" a="1"/>
  <c r="A461" i="2" s="1"/>
  <c r="A393" i="2" a="1"/>
  <c r="A393" i="2" s="1"/>
  <c r="A225" i="2" a="1"/>
  <c r="A225" i="2" s="1"/>
  <c r="A312" i="2" a="1"/>
  <c r="A312" i="2" s="1"/>
  <c r="A471" i="2" a="1"/>
  <c r="A471" i="2" s="1"/>
  <c r="A462" i="2" a="1"/>
  <c r="A462" i="2" s="1"/>
  <c r="A398" i="2" a="1"/>
  <c r="A398" i="2" s="1"/>
  <c r="A334" i="2" a="1"/>
  <c r="A334" i="2" s="1"/>
  <c r="A270" i="2" a="1"/>
  <c r="A270" i="2" s="1"/>
  <c r="A206" i="2" a="1"/>
  <c r="A206" i="2" s="1"/>
  <c r="A285" i="2" a="1"/>
  <c r="A285" i="2" s="1"/>
  <c r="A221" i="2" a="1"/>
  <c r="A221" i="2" s="1"/>
  <c r="A436" i="2" a="1"/>
  <c r="A436" i="2" s="1"/>
  <c r="A316" i="2" a="1"/>
  <c r="A316" i="2" s="1"/>
  <c r="A236" i="2" a="1"/>
  <c r="A236" i="2" s="1"/>
  <c r="A372" i="2" a="1"/>
  <c r="A372" i="2" s="1"/>
  <c r="A483" i="2" a="1"/>
  <c r="A483" i="2" s="1"/>
  <c r="A419" i="2" a="1"/>
  <c r="A419" i="2" s="1"/>
  <c r="A355" i="2" a="1"/>
  <c r="A355" i="2" s="1"/>
  <c r="A291" i="2" a="1"/>
  <c r="A291" i="2" s="1"/>
  <c r="A227" i="2" a="1"/>
  <c r="A227" i="2" s="1"/>
  <c r="A208" i="2" a="1"/>
  <c r="A208" i="2" s="1"/>
  <c r="A376" i="2" a="1"/>
  <c r="A376" i="2" s="1"/>
  <c r="A399" i="2" a="1"/>
  <c r="A399" i="2" s="1"/>
  <c r="A335" i="2" a="1"/>
  <c r="A335" i="2" s="1"/>
  <c r="A271" i="2" a="1"/>
  <c r="A271" i="2" s="1"/>
  <c r="A207" i="2" a="1"/>
  <c r="A207" i="2" s="1"/>
  <c r="A484" i="2" a="1"/>
  <c r="A484" i="2" s="1"/>
  <c r="A390" i="2" a="1"/>
  <c r="A390" i="2" s="1"/>
  <c r="A277" i="2" a="1"/>
  <c r="A277" i="2" s="1"/>
  <c r="A213" i="2" a="1"/>
  <c r="A213" i="2" s="1"/>
  <c r="A428" i="2" a="1"/>
  <c r="A428" i="2" s="1"/>
  <c r="A300" i="2" a="1"/>
  <c r="A300" i="2" s="1"/>
  <c r="A228" i="2" a="1"/>
  <c r="A228" i="2" s="1"/>
  <c r="A356" i="2" a="1"/>
  <c r="A356" i="2" s="1"/>
  <c r="A475" i="2" a="1"/>
  <c r="A475" i="2" s="1"/>
  <c r="A411" i="2" a="1"/>
  <c r="A411" i="2" s="1"/>
  <c r="A347" i="2" a="1"/>
  <c r="A347" i="2" s="1"/>
  <c r="A283" i="2" a="1"/>
  <c r="A283" i="2" s="1"/>
  <c r="A219" i="2" a="1"/>
  <c r="A219" i="2" s="1"/>
  <c r="A400" i="2" a="1"/>
  <c r="A400" i="2" s="1"/>
  <c r="A352" i="2" a="1"/>
  <c r="A352" i="2" s="1"/>
  <c r="A495" i="2" a="1"/>
  <c r="A495" i="2" s="1"/>
  <c r="A391" i="2" a="1"/>
  <c r="A391" i="2" s="1"/>
  <c r="A327" i="2" a="1"/>
  <c r="A327" i="2" s="1"/>
  <c r="A263" i="2" a="1"/>
  <c r="A263" i="2" s="1"/>
  <c r="I379" i="2"/>
  <c r="H426" i="2"/>
  <c r="I426" i="2"/>
  <c r="H384" i="2"/>
  <c r="I490" i="2"/>
  <c r="G302" i="2"/>
  <c r="H302" i="2"/>
  <c r="G494" i="2"/>
  <c r="H380" i="2"/>
  <c r="I380" i="2"/>
  <c r="G406" i="2"/>
  <c r="G240" i="2"/>
  <c r="I301" i="2"/>
  <c r="H301" i="2"/>
  <c r="H361" i="2"/>
  <c r="G256" i="2"/>
  <c r="H256" i="2"/>
  <c r="I256" i="2"/>
  <c r="G239" i="2"/>
  <c r="I239" i="2"/>
  <c r="I220" i="2" l="1"/>
  <c r="G220" i="2"/>
  <c r="G315" i="2"/>
  <c r="G251" i="2"/>
  <c r="H315" i="2"/>
  <c r="H249" i="2"/>
  <c r="I219" i="2"/>
  <c r="H470" i="2"/>
  <c r="I262" i="2"/>
  <c r="I216" i="2"/>
  <c r="I258" i="2"/>
  <c r="H333" i="2"/>
  <c r="H462" i="2"/>
  <c r="H216" i="2"/>
  <c r="I333" i="2"/>
  <c r="G462" i="2"/>
  <c r="G258" i="2"/>
  <c r="H433" i="2"/>
  <c r="H467" i="2"/>
  <c r="G384" i="2"/>
  <c r="H367" i="2"/>
  <c r="G467" i="2"/>
  <c r="I419" i="2"/>
  <c r="H338" i="2"/>
  <c r="I300" i="2"/>
  <c r="H203" i="2"/>
  <c r="G455" i="2"/>
  <c r="G322" i="2"/>
  <c r="I479" i="2"/>
  <c r="G330" i="2"/>
  <c r="H444" i="2"/>
  <c r="G369" i="2"/>
  <c r="I283" i="2"/>
  <c r="H305" i="2"/>
  <c r="G351" i="2"/>
  <c r="H359" i="2"/>
  <c r="H479" i="2"/>
  <c r="I330" i="2"/>
  <c r="I442" i="2"/>
  <c r="I203" i="2"/>
  <c r="I455" i="2"/>
  <c r="H404" i="2"/>
  <c r="G444" i="2"/>
  <c r="I369" i="2"/>
  <c r="H326" i="2"/>
  <c r="G305" i="2"/>
  <c r="H262" i="2"/>
  <c r="I265" i="2"/>
  <c r="G376" i="2"/>
  <c r="G442" i="2"/>
  <c r="G433" i="2"/>
  <c r="G229" i="2"/>
  <c r="I367" i="2"/>
  <c r="G419" i="2"/>
  <c r="I404" i="2"/>
  <c r="G291" i="2"/>
  <c r="H499" i="2"/>
  <c r="I251" i="2"/>
  <c r="H202" i="2"/>
  <c r="I434" i="2"/>
  <c r="I266" i="2"/>
  <c r="H309" i="2"/>
  <c r="H217" i="2"/>
  <c r="H406" i="2"/>
  <c r="I494" i="2"/>
  <c r="G465" i="2"/>
  <c r="H241" i="2"/>
  <c r="G373" i="2"/>
  <c r="G327" i="2"/>
  <c r="I291" i="2"/>
  <c r="I248" i="2"/>
  <c r="G217" i="2"/>
  <c r="I241" i="2"/>
  <c r="I499" i="2"/>
  <c r="H373" i="2"/>
  <c r="G488" i="2"/>
  <c r="G202" i="2"/>
  <c r="I327" i="2"/>
  <c r="H434" i="2"/>
  <c r="H266" i="2"/>
  <c r="I309" i="2"/>
  <c r="I362" i="2"/>
  <c r="H465" i="2"/>
  <c r="I420" i="2"/>
  <c r="H300" i="2"/>
  <c r="I240" i="2"/>
  <c r="I495" i="2"/>
  <c r="I205" i="2"/>
  <c r="I497" i="2"/>
  <c r="G468" i="2"/>
  <c r="G244" i="2"/>
  <c r="G491" i="2"/>
  <c r="I332" i="2"/>
  <c r="H443" i="2"/>
  <c r="H440" i="2"/>
  <c r="G335" i="2"/>
  <c r="G457" i="2"/>
  <c r="G286" i="2"/>
  <c r="H244" i="2"/>
  <c r="H332" i="2"/>
  <c r="G440" i="2"/>
  <c r="H412" i="2"/>
  <c r="H457" i="2"/>
  <c r="I286" i="2"/>
  <c r="I491" i="2"/>
  <c r="G495" i="2"/>
  <c r="G497" i="2"/>
  <c r="I335" i="2"/>
  <c r="I235" i="2"/>
  <c r="I351" i="2"/>
  <c r="H272" i="2"/>
  <c r="I229" i="2"/>
  <c r="I272" i="2"/>
  <c r="I448" i="2"/>
  <c r="G283" i="2"/>
  <c r="H321" i="2"/>
  <c r="G328" i="2"/>
  <c r="H206" i="2"/>
  <c r="H314" i="2"/>
  <c r="I430" i="2"/>
  <c r="H210" i="2"/>
  <c r="I253" i="2"/>
  <c r="I350" i="2"/>
  <c r="I422" i="2"/>
  <c r="I249" i="2"/>
  <c r="G319" i="2"/>
  <c r="I319" i="2"/>
  <c r="I221" i="2"/>
  <c r="I381" i="2"/>
  <c r="G394" i="2"/>
  <c r="I394" i="2"/>
  <c r="H295" i="2"/>
  <c r="G447" i="2"/>
  <c r="I328" i="2"/>
  <c r="H233" i="2"/>
  <c r="H430" i="2"/>
  <c r="I459" i="2"/>
  <c r="I314" i="2"/>
  <c r="I321" i="2"/>
  <c r="G441" i="2"/>
  <c r="G204" i="2"/>
  <c r="H459" i="2"/>
  <c r="H346" i="2"/>
  <c r="I225" i="2"/>
  <c r="I206" i="2"/>
  <c r="H288" i="2"/>
  <c r="G221" i="2"/>
  <c r="I346" i="2"/>
  <c r="I400" i="2"/>
  <c r="G307" i="2"/>
  <c r="H372" i="2"/>
  <c r="I288" i="2"/>
  <c r="H214" i="2"/>
  <c r="G295" i="2"/>
  <c r="H400" i="2"/>
  <c r="H307" i="2"/>
  <c r="I372" i="2"/>
  <c r="I233" i="2"/>
  <c r="H411" i="2"/>
  <c r="I214" i="2"/>
  <c r="H343" i="2"/>
  <c r="G265" i="2"/>
  <c r="G422" i="2"/>
  <c r="H441" i="2"/>
  <c r="G343" i="2"/>
  <c r="I393" i="2"/>
  <c r="I210" i="2"/>
  <c r="G410" i="2"/>
  <c r="H389" i="2"/>
  <c r="I273" i="2"/>
  <c r="G449" i="2"/>
  <c r="G310" i="2"/>
  <c r="H450" i="2"/>
  <c r="G264" i="2"/>
  <c r="H294" i="2"/>
  <c r="H393" i="2"/>
  <c r="H410" i="2"/>
  <c r="I264" i="2"/>
  <c r="I389" i="2"/>
  <c r="G454" i="2"/>
  <c r="H310" i="2"/>
  <c r="I308" i="2"/>
  <c r="I449" i="2"/>
  <c r="H431" i="2"/>
  <c r="G299" i="2"/>
  <c r="G450" i="2"/>
  <c r="I243" i="2"/>
  <c r="I299" i="2"/>
  <c r="H371" i="2"/>
  <c r="G228" i="2"/>
  <c r="H270" i="2"/>
  <c r="H253" i="2"/>
  <c r="H350" i="2"/>
  <c r="H308" i="2"/>
  <c r="H243" i="2"/>
  <c r="H425" i="2"/>
  <c r="H228" i="2"/>
  <c r="G371" i="2"/>
  <c r="G463" i="2"/>
  <c r="G483" i="2"/>
  <c r="H381" i="2"/>
  <c r="I338" i="2"/>
  <c r="H290" i="2"/>
  <c r="G478" i="2"/>
  <c r="G270" i="2"/>
  <c r="G431" i="2"/>
  <c r="H492" i="2"/>
  <c r="I294" i="2"/>
  <c r="G290" i="2"/>
  <c r="H478" i="2"/>
  <c r="H461" i="2"/>
  <c r="H278" i="2"/>
  <c r="I461" i="2"/>
  <c r="I278" i="2"/>
  <c r="H268" i="2"/>
  <c r="G417" i="2"/>
  <c r="G268" i="2"/>
  <c r="H33" i="2"/>
  <c r="G466" i="2"/>
  <c r="H416" i="2"/>
  <c r="I405" i="2"/>
  <c r="G362" i="2"/>
  <c r="H5" i="2"/>
  <c r="I267" i="2"/>
  <c r="H252" i="2"/>
  <c r="G388" i="2"/>
  <c r="G259" i="2"/>
  <c r="I416" i="2"/>
  <c r="H405" i="2"/>
  <c r="H490" i="2"/>
  <c r="G5" i="2"/>
  <c r="G267" i="2"/>
  <c r="G252" i="2"/>
  <c r="H435" i="2"/>
  <c r="H366" i="2"/>
  <c r="H388" i="2"/>
  <c r="I466" i="2"/>
  <c r="H415" i="2"/>
  <c r="H245" i="2"/>
  <c r="I435" i="2"/>
  <c r="G366" i="2"/>
  <c r="I409" i="2"/>
  <c r="G227" i="2"/>
  <c r="G33" i="2"/>
  <c r="G415" i="2"/>
  <c r="G245" i="2"/>
  <c r="I456" i="2"/>
  <c r="G409" i="2"/>
  <c r="I445" i="2"/>
  <c r="I482" i="2"/>
  <c r="G361" i="2"/>
  <c r="G456" i="2"/>
  <c r="H445" i="2"/>
  <c r="I353" i="2"/>
  <c r="G95" i="2"/>
  <c r="I95" i="2"/>
  <c r="H95" i="2"/>
  <c r="I135" i="2"/>
  <c r="H135" i="2"/>
  <c r="G135" i="2"/>
  <c r="I139" i="2"/>
  <c r="H139" i="2"/>
  <c r="G139" i="2"/>
  <c r="B49" i="2"/>
  <c r="C49" i="2"/>
  <c r="D49" i="2"/>
  <c r="B191" i="2"/>
  <c r="D191" i="2"/>
  <c r="C191" i="2"/>
  <c r="D94" i="2"/>
  <c r="C94" i="2"/>
  <c r="B94" i="2"/>
  <c r="C25" i="2"/>
  <c r="D25" i="2"/>
  <c r="B25" i="2"/>
  <c r="C179" i="2"/>
  <c r="B179" i="2"/>
  <c r="D179" i="2"/>
  <c r="D75" i="2"/>
  <c r="B75" i="2"/>
  <c r="C75" i="2"/>
  <c r="C160" i="2"/>
  <c r="D160" i="2"/>
  <c r="B160" i="2"/>
  <c r="C143" i="2"/>
  <c r="B143" i="2"/>
  <c r="D143" i="2"/>
  <c r="B105" i="2"/>
  <c r="D105" i="2"/>
  <c r="C105" i="2"/>
  <c r="D59" i="2"/>
  <c r="B59" i="2"/>
  <c r="C59" i="2"/>
  <c r="D8" i="2"/>
  <c r="B8" i="2"/>
  <c r="C8" i="2"/>
  <c r="C159" i="2"/>
  <c r="D159" i="2"/>
  <c r="B159" i="2"/>
  <c r="B166" i="2"/>
  <c r="C166" i="2"/>
  <c r="D166" i="2"/>
  <c r="B135" i="2"/>
  <c r="C135" i="2"/>
  <c r="D135" i="2"/>
  <c r="D43" i="2"/>
  <c r="B43" i="2"/>
  <c r="C43" i="2"/>
  <c r="C116" i="2"/>
  <c r="D116" i="2"/>
  <c r="B116" i="2"/>
  <c r="B66" i="2"/>
  <c r="C66" i="2"/>
  <c r="D66" i="2"/>
  <c r="D11" i="2"/>
  <c r="B11" i="2"/>
  <c r="C11" i="2"/>
  <c r="D177" i="2"/>
  <c r="B177" i="2"/>
  <c r="C177" i="2"/>
  <c r="B145" i="2"/>
  <c r="D145" i="2"/>
  <c r="C145" i="2"/>
  <c r="B69" i="2"/>
  <c r="C69" i="2"/>
  <c r="D69" i="2"/>
  <c r="B134" i="2"/>
  <c r="D134" i="2"/>
  <c r="C134" i="2"/>
  <c r="C91" i="2"/>
  <c r="B91" i="2"/>
  <c r="D91" i="2"/>
  <c r="B22" i="2"/>
  <c r="C22" i="2"/>
  <c r="D22" i="2"/>
  <c r="H184" i="2"/>
  <c r="I184" i="2"/>
  <c r="G184" i="2"/>
  <c r="G100" i="2"/>
  <c r="H100" i="2"/>
  <c r="I100" i="2"/>
  <c r="G36" i="2"/>
  <c r="I36" i="2"/>
  <c r="H36" i="2"/>
  <c r="G7" i="2"/>
  <c r="H7" i="2"/>
  <c r="I7" i="2"/>
  <c r="H195" i="2"/>
  <c r="I195" i="2"/>
  <c r="G195" i="2"/>
  <c r="G104" i="2"/>
  <c r="H104" i="2"/>
  <c r="I104" i="2"/>
  <c r="I40" i="2"/>
  <c r="G40" i="2"/>
  <c r="H40" i="2"/>
  <c r="G63" i="2"/>
  <c r="H63" i="2"/>
  <c r="I63" i="2"/>
  <c r="I85" i="2"/>
  <c r="G85" i="2"/>
  <c r="H85" i="2"/>
  <c r="I157" i="2"/>
  <c r="G157" i="2"/>
  <c r="H157" i="2"/>
  <c r="G12" i="2"/>
  <c r="H12" i="2"/>
  <c r="I12" i="2"/>
  <c r="G112" i="2"/>
  <c r="H112" i="2"/>
  <c r="I112" i="2"/>
  <c r="I68" i="2"/>
  <c r="G68" i="2"/>
  <c r="H68" i="2"/>
  <c r="H145" i="2"/>
  <c r="I145" i="2"/>
  <c r="G145" i="2"/>
  <c r="G20" i="2"/>
  <c r="H20" i="2"/>
  <c r="I20" i="2"/>
  <c r="G72" i="2"/>
  <c r="H72" i="2"/>
  <c r="I72" i="2"/>
  <c r="H153" i="2"/>
  <c r="G153" i="2"/>
  <c r="I153" i="2"/>
  <c r="G24" i="2"/>
  <c r="I24" i="2"/>
  <c r="H24" i="2"/>
  <c r="G76" i="2"/>
  <c r="H76" i="2"/>
  <c r="I76" i="2"/>
  <c r="I161" i="2"/>
  <c r="H161" i="2"/>
  <c r="G161" i="2"/>
  <c r="G28" i="2"/>
  <c r="I28" i="2"/>
  <c r="H28" i="2"/>
  <c r="H96" i="2"/>
  <c r="I96" i="2"/>
  <c r="G96" i="2"/>
  <c r="H199" i="2"/>
  <c r="I199" i="2"/>
  <c r="G199" i="2"/>
  <c r="I101" i="2"/>
  <c r="H101" i="2"/>
  <c r="G101" i="2"/>
  <c r="C176" i="2"/>
  <c r="D176" i="2"/>
  <c r="B176" i="2"/>
  <c r="B45" i="2"/>
  <c r="D45" i="2"/>
  <c r="C45" i="2"/>
  <c r="B133" i="2"/>
  <c r="C133" i="2"/>
  <c r="D133" i="2"/>
  <c r="D90" i="2"/>
  <c r="B90" i="2"/>
  <c r="C90" i="2"/>
  <c r="B21" i="2"/>
  <c r="C21" i="2"/>
  <c r="D21" i="2"/>
  <c r="D167" i="2"/>
  <c r="C167" i="2"/>
  <c r="B167" i="2"/>
  <c r="D71" i="2"/>
  <c r="B71" i="2"/>
  <c r="C71" i="2"/>
  <c r="D140" i="2"/>
  <c r="B140" i="2"/>
  <c r="C140" i="2"/>
  <c r="B129" i="2"/>
  <c r="D129" i="2"/>
  <c r="C129" i="2"/>
  <c r="D101" i="2"/>
  <c r="C101" i="2"/>
  <c r="B101" i="2"/>
  <c r="D55" i="2"/>
  <c r="B55" i="2"/>
  <c r="C55" i="2"/>
  <c r="B172" i="2"/>
  <c r="C172" i="2"/>
  <c r="D172" i="2"/>
  <c r="B197" i="2"/>
  <c r="C197" i="2"/>
  <c r="D197" i="2"/>
  <c r="B162" i="2"/>
  <c r="C162" i="2"/>
  <c r="D162" i="2"/>
  <c r="C128" i="2"/>
  <c r="B128" i="2"/>
  <c r="D128" i="2"/>
  <c r="D39" i="2"/>
  <c r="B39" i="2"/>
  <c r="C39" i="2"/>
  <c r="C112" i="2"/>
  <c r="D112" i="2"/>
  <c r="B112" i="2"/>
  <c r="B62" i="2"/>
  <c r="C62" i="2"/>
  <c r="D62" i="2"/>
  <c r="D7" i="2"/>
  <c r="B7" i="2"/>
  <c r="C7" i="2"/>
  <c r="D173" i="2"/>
  <c r="B173" i="2"/>
  <c r="C173" i="2"/>
  <c r="B141" i="2"/>
  <c r="C141" i="2"/>
  <c r="D141" i="2"/>
  <c r="B50" i="2"/>
  <c r="C50" i="2"/>
  <c r="D50" i="2"/>
  <c r="B119" i="2"/>
  <c r="D119" i="2"/>
  <c r="C119" i="2"/>
  <c r="B87" i="2"/>
  <c r="C87" i="2"/>
  <c r="D87" i="2"/>
  <c r="B18" i="2"/>
  <c r="C18" i="2"/>
  <c r="D18" i="2"/>
  <c r="H30" i="2"/>
  <c r="I30" i="2"/>
  <c r="G30" i="2"/>
  <c r="G110" i="2"/>
  <c r="I110" i="2"/>
  <c r="H110" i="2"/>
  <c r="H82" i="2"/>
  <c r="G82" i="2"/>
  <c r="I82" i="2"/>
  <c r="G39" i="2"/>
  <c r="H39" i="2"/>
  <c r="I39" i="2"/>
  <c r="I53" i="2"/>
  <c r="G53" i="2"/>
  <c r="H53" i="2"/>
  <c r="I31" i="2"/>
  <c r="G31" i="2"/>
  <c r="H31" i="2"/>
  <c r="I125" i="2"/>
  <c r="G125" i="2"/>
  <c r="H125" i="2"/>
  <c r="I44" i="2"/>
  <c r="G44" i="2"/>
  <c r="H44" i="2"/>
  <c r="H171" i="2"/>
  <c r="I171" i="2"/>
  <c r="G171" i="2"/>
  <c r="I46" i="2"/>
  <c r="G46" i="2"/>
  <c r="H46" i="2"/>
  <c r="I132" i="2"/>
  <c r="H132" i="2"/>
  <c r="G132" i="2"/>
  <c r="G166" i="2"/>
  <c r="I166" i="2"/>
  <c r="H166" i="2"/>
  <c r="I136" i="2"/>
  <c r="H136" i="2"/>
  <c r="G136" i="2"/>
  <c r="G11" i="2"/>
  <c r="H11" i="2"/>
  <c r="I11" i="2"/>
  <c r="G89" i="2"/>
  <c r="I89" i="2"/>
  <c r="H89" i="2"/>
  <c r="I140" i="2"/>
  <c r="G140" i="2"/>
  <c r="H140" i="2"/>
  <c r="I15" i="2"/>
  <c r="G15" i="2"/>
  <c r="H15" i="2"/>
  <c r="I93" i="2"/>
  <c r="H93" i="2"/>
  <c r="G93" i="2"/>
  <c r="I144" i="2"/>
  <c r="G144" i="2"/>
  <c r="H144" i="2"/>
  <c r="I19" i="2"/>
  <c r="G19" i="2"/>
  <c r="H19" i="2"/>
  <c r="I97" i="2"/>
  <c r="H97" i="2"/>
  <c r="G97" i="2"/>
  <c r="H150" i="2"/>
  <c r="G150" i="2"/>
  <c r="I150" i="2"/>
  <c r="H34" i="2"/>
  <c r="I34" i="2"/>
  <c r="G34" i="2"/>
  <c r="G32" i="2"/>
  <c r="H32" i="2"/>
  <c r="I32" i="2"/>
  <c r="C152" i="2"/>
  <c r="B152" i="2"/>
  <c r="D152" i="2"/>
  <c r="C41" i="2"/>
  <c r="D41" i="2"/>
  <c r="B41" i="2"/>
  <c r="B118" i="2"/>
  <c r="C118" i="2"/>
  <c r="D118" i="2"/>
  <c r="B86" i="2"/>
  <c r="C86" i="2"/>
  <c r="D86" i="2"/>
  <c r="B17" i="2"/>
  <c r="C17" i="2"/>
  <c r="D17" i="2"/>
  <c r="C155" i="2"/>
  <c r="B155" i="2"/>
  <c r="D155" i="2"/>
  <c r="D48" i="2"/>
  <c r="B48" i="2"/>
  <c r="C48" i="2"/>
  <c r="D122" i="2"/>
  <c r="B122" i="2"/>
  <c r="C122" i="2"/>
  <c r="B190" i="2"/>
  <c r="D190" i="2"/>
  <c r="C190" i="2"/>
  <c r="B97" i="2"/>
  <c r="C97" i="2"/>
  <c r="D97" i="2"/>
  <c r="D51" i="2"/>
  <c r="B51" i="2"/>
  <c r="C51" i="2"/>
  <c r="C148" i="2"/>
  <c r="B148" i="2"/>
  <c r="D148" i="2"/>
  <c r="D193" i="2"/>
  <c r="B193" i="2"/>
  <c r="C193" i="2"/>
  <c r="B158" i="2"/>
  <c r="C158" i="2"/>
  <c r="D158" i="2"/>
  <c r="C124" i="2"/>
  <c r="B124" i="2"/>
  <c r="D124" i="2"/>
  <c r="D35" i="2"/>
  <c r="B35" i="2"/>
  <c r="C35" i="2"/>
  <c r="C108" i="2"/>
  <c r="B108" i="2"/>
  <c r="D108" i="2"/>
  <c r="B58" i="2"/>
  <c r="C58" i="2"/>
  <c r="D58" i="2"/>
  <c r="B195" i="2"/>
  <c r="C195" i="2"/>
  <c r="D195" i="2"/>
  <c r="D169" i="2"/>
  <c r="B169" i="2"/>
  <c r="C169" i="2"/>
  <c r="B137" i="2"/>
  <c r="C137" i="2"/>
  <c r="D137" i="2"/>
  <c r="B46" i="2"/>
  <c r="C46" i="2"/>
  <c r="D46" i="2"/>
  <c r="B115" i="2"/>
  <c r="C115" i="2"/>
  <c r="D115" i="2"/>
  <c r="D65" i="2"/>
  <c r="B65" i="2"/>
  <c r="C65" i="2"/>
  <c r="B14" i="2"/>
  <c r="C14" i="2"/>
  <c r="D14" i="2"/>
  <c r="G99" i="2"/>
  <c r="I99" i="2"/>
  <c r="H99" i="2"/>
  <c r="H78" i="2"/>
  <c r="I78" i="2"/>
  <c r="G78" i="2"/>
  <c r="I159" i="2"/>
  <c r="G159" i="2"/>
  <c r="H159" i="2"/>
  <c r="G16" i="2"/>
  <c r="H16" i="2"/>
  <c r="I16" i="2"/>
  <c r="G103" i="2"/>
  <c r="I103" i="2"/>
  <c r="H103" i="2"/>
  <c r="I81" i="2"/>
  <c r="G81" i="2"/>
  <c r="H81" i="2"/>
  <c r="G163" i="2"/>
  <c r="I163" i="2"/>
  <c r="H163" i="2"/>
  <c r="H167" i="2"/>
  <c r="I167" i="2"/>
  <c r="G167" i="2"/>
  <c r="I45" i="2"/>
  <c r="G45" i="2"/>
  <c r="H45" i="2"/>
  <c r="G134" i="2"/>
  <c r="H134" i="2"/>
  <c r="I134" i="2"/>
  <c r="I129" i="2"/>
  <c r="G129" i="2"/>
  <c r="H129" i="2"/>
  <c r="G190" i="2"/>
  <c r="I190" i="2"/>
  <c r="H190" i="2"/>
  <c r="I168" i="2"/>
  <c r="H168" i="2"/>
  <c r="G168" i="2"/>
  <c r="I66" i="2"/>
  <c r="G66" i="2"/>
  <c r="H66" i="2"/>
  <c r="G172" i="2"/>
  <c r="I172" i="2"/>
  <c r="H172" i="2"/>
  <c r="G88" i="2"/>
  <c r="H88" i="2"/>
  <c r="I88" i="2"/>
  <c r="G106" i="2"/>
  <c r="I106" i="2"/>
  <c r="H106" i="2"/>
  <c r="I176" i="2"/>
  <c r="H176" i="2"/>
  <c r="G176" i="2"/>
  <c r="G92" i="2"/>
  <c r="H92" i="2"/>
  <c r="I92" i="2"/>
  <c r="H191" i="2"/>
  <c r="I191" i="2"/>
  <c r="G191" i="2"/>
  <c r="G182" i="2"/>
  <c r="H182" i="2"/>
  <c r="I182" i="2"/>
  <c r="G84" i="2"/>
  <c r="H84" i="2"/>
  <c r="I84" i="2"/>
  <c r="I155" i="2"/>
  <c r="G155" i="2"/>
  <c r="H155" i="2"/>
  <c r="B83" i="2"/>
  <c r="C83" i="2"/>
  <c r="D83" i="2"/>
  <c r="B37" i="2"/>
  <c r="C37" i="2"/>
  <c r="D37" i="2"/>
  <c r="B114" i="2"/>
  <c r="D114" i="2"/>
  <c r="C114" i="2"/>
  <c r="D64" i="2"/>
  <c r="B64" i="2"/>
  <c r="C64" i="2"/>
  <c r="D13" i="2"/>
  <c r="B13" i="2"/>
  <c r="C13" i="2"/>
  <c r="C147" i="2"/>
  <c r="B147" i="2"/>
  <c r="D147" i="2"/>
  <c r="D44" i="2"/>
  <c r="B44" i="2"/>
  <c r="C44" i="2"/>
  <c r="B198" i="2"/>
  <c r="C198" i="2"/>
  <c r="D198" i="2"/>
  <c r="D132" i="2"/>
  <c r="C132" i="2"/>
  <c r="B132" i="2"/>
  <c r="B93" i="2"/>
  <c r="C93" i="2"/>
  <c r="D93" i="2"/>
  <c r="D28" i="2"/>
  <c r="B28" i="2"/>
  <c r="C28" i="2"/>
  <c r="B130" i="2"/>
  <c r="D130" i="2"/>
  <c r="C130" i="2"/>
  <c r="B186" i="2"/>
  <c r="D186" i="2"/>
  <c r="C186" i="2"/>
  <c r="B154" i="2"/>
  <c r="D154" i="2"/>
  <c r="C154" i="2"/>
  <c r="B81" i="2"/>
  <c r="C81" i="2"/>
  <c r="D81" i="2"/>
  <c r="B31" i="2"/>
  <c r="C31" i="2"/>
  <c r="D31" i="2"/>
  <c r="C104" i="2"/>
  <c r="D104" i="2"/>
  <c r="B104" i="2"/>
  <c r="B54" i="2"/>
  <c r="C54" i="2"/>
  <c r="D54" i="2"/>
  <c r="B168" i="2"/>
  <c r="C168" i="2"/>
  <c r="D168" i="2"/>
  <c r="C165" i="2"/>
  <c r="D165" i="2"/>
  <c r="B165" i="2"/>
  <c r="B127" i="2"/>
  <c r="C127" i="2"/>
  <c r="D127" i="2"/>
  <c r="B42" i="2"/>
  <c r="C42" i="2"/>
  <c r="D42" i="2"/>
  <c r="B111" i="2"/>
  <c r="C111" i="2"/>
  <c r="D111" i="2"/>
  <c r="D61" i="2"/>
  <c r="B61" i="2"/>
  <c r="C61" i="2"/>
  <c r="B10" i="2"/>
  <c r="C10" i="2"/>
  <c r="D10" i="2"/>
  <c r="H141" i="2"/>
  <c r="I141" i="2"/>
  <c r="G141" i="2"/>
  <c r="H154" i="2"/>
  <c r="I154" i="2"/>
  <c r="G154" i="2"/>
  <c r="G194" i="2"/>
  <c r="I194" i="2"/>
  <c r="H194" i="2"/>
  <c r="H48" i="2"/>
  <c r="I48" i="2"/>
  <c r="G48" i="2"/>
  <c r="G149" i="2"/>
  <c r="H149" i="2"/>
  <c r="I149" i="2"/>
  <c r="H158" i="2"/>
  <c r="G158" i="2"/>
  <c r="I158" i="2"/>
  <c r="G198" i="2"/>
  <c r="I198" i="2"/>
  <c r="H198" i="2"/>
  <c r="I52" i="2"/>
  <c r="G52" i="2"/>
  <c r="H52" i="2"/>
  <c r="G126" i="2"/>
  <c r="H126" i="2"/>
  <c r="I126" i="2"/>
  <c r="I192" i="2"/>
  <c r="G192" i="2"/>
  <c r="H192" i="2"/>
  <c r="G98" i="2"/>
  <c r="H98" i="2"/>
  <c r="I98" i="2"/>
  <c r="G118" i="2"/>
  <c r="I118" i="2"/>
  <c r="H118" i="2"/>
  <c r="H14" i="2"/>
  <c r="I14" i="2"/>
  <c r="G14" i="2"/>
  <c r="G116" i="2"/>
  <c r="H116" i="2"/>
  <c r="I116" i="2"/>
  <c r="G67" i="2"/>
  <c r="H67" i="2"/>
  <c r="I67" i="2"/>
  <c r="H18" i="2"/>
  <c r="I18" i="2"/>
  <c r="G18" i="2"/>
  <c r="H120" i="2"/>
  <c r="I120" i="2"/>
  <c r="G120" i="2"/>
  <c r="G71" i="2"/>
  <c r="H71" i="2"/>
  <c r="I71" i="2"/>
  <c r="H22" i="2"/>
  <c r="I22" i="2"/>
  <c r="G22" i="2"/>
  <c r="I131" i="2"/>
  <c r="G131" i="2"/>
  <c r="H131" i="2"/>
  <c r="G75" i="2"/>
  <c r="H75" i="2"/>
  <c r="I75" i="2"/>
  <c r="I51" i="2"/>
  <c r="G51" i="2"/>
  <c r="H51" i="2"/>
  <c r="G80" i="2"/>
  <c r="H80" i="2"/>
  <c r="I80" i="2"/>
  <c r="G169" i="2"/>
  <c r="H169" i="2"/>
  <c r="I169" i="2"/>
  <c r="G187" i="2"/>
  <c r="I187" i="2"/>
  <c r="H187" i="2"/>
  <c r="B80" i="2"/>
  <c r="D80" i="2"/>
  <c r="C80" i="2"/>
  <c r="B33" i="2"/>
  <c r="C33" i="2"/>
  <c r="D33" i="2"/>
  <c r="B110" i="2"/>
  <c r="C110" i="2"/>
  <c r="D110" i="2"/>
  <c r="D60" i="2"/>
  <c r="B60" i="2"/>
  <c r="C60" i="2"/>
  <c r="C9" i="2"/>
  <c r="D9" i="2"/>
  <c r="B9" i="2"/>
  <c r="B139" i="2"/>
  <c r="C139" i="2"/>
  <c r="D139" i="2"/>
  <c r="D40" i="2"/>
  <c r="C40" i="2"/>
  <c r="B40" i="2"/>
  <c r="B187" i="2"/>
  <c r="C187" i="2"/>
  <c r="D187" i="2"/>
  <c r="D121" i="2"/>
  <c r="C121" i="2"/>
  <c r="B121" i="2"/>
  <c r="D89" i="2"/>
  <c r="B89" i="2"/>
  <c r="C89" i="2"/>
  <c r="D24" i="2"/>
  <c r="B24" i="2"/>
  <c r="C24" i="2"/>
  <c r="B182" i="2"/>
  <c r="D182" i="2"/>
  <c r="C182" i="2"/>
  <c r="B150" i="2"/>
  <c r="D150" i="2"/>
  <c r="C150" i="2"/>
  <c r="B78" i="2"/>
  <c r="C78" i="2"/>
  <c r="D78" i="2"/>
  <c r="C188" i="2"/>
  <c r="B188" i="2"/>
  <c r="D188" i="2"/>
  <c r="C100" i="2"/>
  <c r="D100" i="2"/>
  <c r="B100" i="2"/>
  <c r="D27" i="2"/>
  <c r="B27" i="2"/>
  <c r="C27" i="2"/>
  <c r="D189" i="2"/>
  <c r="C189" i="2"/>
  <c r="B189" i="2"/>
  <c r="B161" i="2"/>
  <c r="D161" i="2"/>
  <c r="C161" i="2"/>
  <c r="B123" i="2"/>
  <c r="C123" i="2"/>
  <c r="D123" i="2"/>
  <c r="B38" i="2"/>
  <c r="C38" i="2"/>
  <c r="D38" i="2"/>
  <c r="D107" i="2"/>
  <c r="C107" i="2"/>
  <c r="B107" i="2"/>
  <c r="B57" i="2"/>
  <c r="C57" i="2"/>
  <c r="D57" i="2"/>
  <c r="B6" i="2"/>
  <c r="C6" i="2"/>
  <c r="D6" i="2"/>
  <c r="H38" i="2"/>
  <c r="I38" i="2"/>
  <c r="G38" i="2"/>
  <c r="G186" i="2"/>
  <c r="I186" i="2"/>
  <c r="H186" i="2"/>
  <c r="H25" i="2"/>
  <c r="I25" i="2"/>
  <c r="G25" i="2"/>
  <c r="I56" i="2"/>
  <c r="G56" i="2"/>
  <c r="H56" i="2"/>
  <c r="I42" i="2"/>
  <c r="G42" i="2"/>
  <c r="H42" i="2"/>
  <c r="G193" i="2"/>
  <c r="H193" i="2"/>
  <c r="I193" i="2"/>
  <c r="I29" i="2"/>
  <c r="G29" i="2"/>
  <c r="H29" i="2"/>
  <c r="H164" i="2"/>
  <c r="G164" i="2"/>
  <c r="I164" i="2"/>
  <c r="I160" i="2"/>
  <c r="G160" i="2"/>
  <c r="H160" i="2"/>
  <c r="H58" i="2"/>
  <c r="I58" i="2"/>
  <c r="G58" i="2"/>
  <c r="I133" i="2"/>
  <c r="G133" i="2"/>
  <c r="H133" i="2"/>
  <c r="I49" i="2"/>
  <c r="H49" i="2"/>
  <c r="G49" i="2"/>
  <c r="I65" i="2"/>
  <c r="G65" i="2"/>
  <c r="H65" i="2"/>
  <c r="G43" i="2"/>
  <c r="H43" i="2"/>
  <c r="I43" i="2"/>
  <c r="I143" i="2"/>
  <c r="G143" i="2"/>
  <c r="H143" i="2"/>
  <c r="G87" i="2"/>
  <c r="H87" i="2"/>
  <c r="I87" i="2"/>
  <c r="I47" i="2"/>
  <c r="G47" i="2"/>
  <c r="H47" i="2"/>
  <c r="I147" i="2"/>
  <c r="G147" i="2"/>
  <c r="H147" i="2"/>
  <c r="G91" i="2"/>
  <c r="I91" i="2"/>
  <c r="H91" i="2"/>
  <c r="H70" i="2"/>
  <c r="G70" i="2"/>
  <c r="I70" i="2"/>
  <c r="I151" i="2"/>
  <c r="G151" i="2"/>
  <c r="H151" i="2"/>
  <c r="H79" i="2"/>
  <c r="I79" i="2"/>
  <c r="G79" i="2"/>
  <c r="I148" i="2"/>
  <c r="G148" i="2"/>
  <c r="H148" i="2"/>
  <c r="G23" i="2"/>
  <c r="H23" i="2"/>
  <c r="I23" i="2"/>
  <c r="I21" i="2"/>
  <c r="G21" i="2"/>
  <c r="H21" i="2"/>
  <c r="B76" i="2"/>
  <c r="D76" i="2"/>
  <c r="C76" i="2"/>
  <c r="C180" i="2"/>
  <c r="B180" i="2"/>
  <c r="D180" i="2"/>
  <c r="B106" i="2"/>
  <c r="C106" i="2"/>
  <c r="D106" i="2"/>
  <c r="D56" i="2"/>
  <c r="B56" i="2"/>
  <c r="C56" i="2"/>
  <c r="D164" i="2"/>
  <c r="B164" i="2"/>
  <c r="C164" i="2"/>
  <c r="B125" i="2"/>
  <c r="C125" i="2"/>
  <c r="D125" i="2"/>
  <c r="D36" i="2"/>
  <c r="B36" i="2"/>
  <c r="C36" i="2"/>
  <c r="C175" i="2"/>
  <c r="D175" i="2"/>
  <c r="B175" i="2"/>
  <c r="B117" i="2"/>
  <c r="C117" i="2"/>
  <c r="D117" i="2"/>
  <c r="B85" i="2"/>
  <c r="C85" i="2"/>
  <c r="D85" i="2"/>
  <c r="D20" i="2"/>
  <c r="B20" i="2"/>
  <c r="C20" i="2"/>
  <c r="B194" i="2"/>
  <c r="D194" i="2"/>
  <c r="C194" i="2"/>
  <c r="B178" i="2"/>
  <c r="C178" i="2"/>
  <c r="D178" i="2"/>
  <c r="B146" i="2"/>
  <c r="C146" i="2"/>
  <c r="D146" i="2"/>
  <c r="B74" i="2"/>
  <c r="C74" i="2"/>
  <c r="D74" i="2"/>
  <c r="D200" i="2"/>
  <c r="B200" i="2"/>
  <c r="C200" i="2"/>
  <c r="B96" i="2"/>
  <c r="D96" i="2"/>
  <c r="C96" i="2"/>
  <c r="D23" i="2"/>
  <c r="B23" i="2"/>
  <c r="C23" i="2"/>
  <c r="D196" i="2"/>
  <c r="B196" i="2"/>
  <c r="C196" i="2"/>
  <c r="B157" i="2"/>
  <c r="C157" i="2"/>
  <c r="D157" i="2"/>
  <c r="B84" i="2"/>
  <c r="D84" i="2"/>
  <c r="C84" i="2"/>
  <c r="B34" i="2"/>
  <c r="C34" i="2"/>
  <c r="D34" i="2"/>
  <c r="B103" i="2"/>
  <c r="C103" i="2"/>
  <c r="D103" i="2"/>
  <c r="B53" i="2"/>
  <c r="C53" i="2"/>
  <c r="D53" i="2"/>
  <c r="I37" i="2"/>
  <c r="H37" i="2"/>
  <c r="G37" i="2"/>
  <c r="G123" i="2"/>
  <c r="I123" i="2"/>
  <c r="H123" i="2"/>
  <c r="G102" i="2"/>
  <c r="I102" i="2"/>
  <c r="H102" i="2"/>
  <c r="G94" i="2"/>
  <c r="H94" i="2"/>
  <c r="I94" i="2"/>
  <c r="I41" i="2"/>
  <c r="H41" i="2"/>
  <c r="G41" i="2"/>
  <c r="G127" i="2"/>
  <c r="I127" i="2"/>
  <c r="H127" i="2"/>
  <c r="I8" i="2"/>
  <c r="G8" i="2"/>
  <c r="H8" i="2"/>
  <c r="G114" i="2"/>
  <c r="I114" i="2"/>
  <c r="H114" i="2"/>
  <c r="G50" i="2"/>
  <c r="H50" i="2"/>
  <c r="I50" i="2"/>
  <c r="I6" i="2"/>
  <c r="G6" i="2"/>
  <c r="H6" i="2"/>
  <c r="I108" i="2"/>
  <c r="H108" i="2"/>
  <c r="G108" i="2"/>
  <c r="H10" i="2"/>
  <c r="I10" i="2"/>
  <c r="G10" i="2"/>
  <c r="G115" i="2"/>
  <c r="H115" i="2"/>
  <c r="I115" i="2"/>
  <c r="G138" i="2"/>
  <c r="H138" i="2"/>
  <c r="I138" i="2"/>
  <c r="G175" i="2"/>
  <c r="I175" i="2"/>
  <c r="H175" i="2"/>
  <c r="G119" i="2"/>
  <c r="I119" i="2"/>
  <c r="H119" i="2"/>
  <c r="H142" i="2"/>
  <c r="G142" i="2"/>
  <c r="I142" i="2"/>
  <c r="H179" i="2"/>
  <c r="I179" i="2"/>
  <c r="G179" i="2"/>
  <c r="G188" i="2"/>
  <c r="I188" i="2"/>
  <c r="H188" i="2"/>
  <c r="H146" i="2"/>
  <c r="G146" i="2"/>
  <c r="I146" i="2"/>
  <c r="H183" i="2"/>
  <c r="I183" i="2"/>
  <c r="G183" i="2"/>
  <c r="I180" i="2"/>
  <c r="G180" i="2"/>
  <c r="H180" i="2"/>
  <c r="I189" i="2"/>
  <c r="G189" i="2"/>
  <c r="H189" i="2"/>
  <c r="G90" i="2"/>
  <c r="H90" i="2"/>
  <c r="I90" i="2"/>
  <c r="D72" i="2"/>
  <c r="B72" i="2"/>
  <c r="C72" i="2"/>
  <c r="C156" i="2"/>
  <c r="B156" i="2"/>
  <c r="D156" i="2"/>
  <c r="B102" i="2"/>
  <c r="C102" i="2"/>
  <c r="D102" i="2"/>
  <c r="D52" i="2"/>
  <c r="B52" i="2"/>
  <c r="C52" i="2"/>
  <c r="C144" i="2"/>
  <c r="B144" i="2"/>
  <c r="D144" i="2"/>
  <c r="B82" i="2"/>
  <c r="C82" i="2"/>
  <c r="D82" i="2"/>
  <c r="D32" i="2"/>
  <c r="B32" i="2"/>
  <c r="C32" i="2"/>
  <c r="C163" i="2"/>
  <c r="B163" i="2"/>
  <c r="D163" i="2"/>
  <c r="C113" i="2"/>
  <c r="D113" i="2"/>
  <c r="B113" i="2"/>
  <c r="D67" i="2"/>
  <c r="B67" i="2"/>
  <c r="C67" i="2"/>
  <c r="D16" i="2"/>
  <c r="B16" i="2"/>
  <c r="C16" i="2"/>
  <c r="D183" i="2"/>
  <c r="B183" i="2"/>
  <c r="C183" i="2"/>
  <c r="B174" i="2"/>
  <c r="C174" i="2"/>
  <c r="D174" i="2"/>
  <c r="B142" i="2"/>
  <c r="C142" i="2"/>
  <c r="D142" i="2"/>
  <c r="B70" i="2"/>
  <c r="C70" i="2"/>
  <c r="D70" i="2"/>
  <c r="B131" i="2"/>
  <c r="C131" i="2"/>
  <c r="D131" i="2"/>
  <c r="C92" i="2"/>
  <c r="D92" i="2"/>
  <c r="B92" i="2"/>
  <c r="D19" i="2"/>
  <c r="B19" i="2"/>
  <c r="C19" i="2"/>
  <c r="D185" i="2"/>
  <c r="B185" i="2"/>
  <c r="C185" i="2"/>
  <c r="B153" i="2"/>
  <c r="D153" i="2"/>
  <c r="C153" i="2"/>
  <c r="D77" i="2"/>
  <c r="B77" i="2"/>
  <c r="C77" i="2"/>
  <c r="B199" i="2"/>
  <c r="D199" i="2"/>
  <c r="C199" i="2"/>
  <c r="B99" i="2"/>
  <c r="C99" i="2"/>
  <c r="D99" i="2"/>
  <c r="B30" i="2"/>
  <c r="C30" i="2"/>
  <c r="D30" i="2"/>
  <c r="G83" i="2"/>
  <c r="H83" i="2"/>
  <c r="I83" i="2"/>
  <c r="I177" i="2"/>
  <c r="H177" i="2"/>
  <c r="G177" i="2"/>
  <c r="G55" i="2"/>
  <c r="H55" i="2"/>
  <c r="I55" i="2"/>
  <c r="H61" i="2"/>
  <c r="I61" i="2"/>
  <c r="G61" i="2"/>
  <c r="G122" i="2"/>
  <c r="H122" i="2"/>
  <c r="I122" i="2"/>
  <c r="H185" i="2"/>
  <c r="I185" i="2"/>
  <c r="G185" i="2"/>
  <c r="G59" i="2"/>
  <c r="H59" i="2"/>
  <c r="I59" i="2"/>
  <c r="H124" i="2"/>
  <c r="G124" i="2"/>
  <c r="I124" i="2"/>
  <c r="G62" i="2"/>
  <c r="H62" i="2"/>
  <c r="I62" i="2"/>
  <c r="H57" i="2"/>
  <c r="I57" i="2"/>
  <c r="G57" i="2"/>
  <c r="I35" i="2"/>
  <c r="G35" i="2"/>
  <c r="H35" i="2"/>
  <c r="G111" i="2"/>
  <c r="I111" i="2"/>
  <c r="H111" i="2"/>
  <c r="I173" i="2"/>
  <c r="H173" i="2"/>
  <c r="G173" i="2"/>
  <c r="G170" i="2"/>
  <c r="I170" i="2"/>
  <c r="H170" i="2"/>
  <c r="I9" i="2"/>
  <c r="G9" i="2"/>
  <c r="H9" i="2"/>
  <c r="G181" i="2"/>
  <c r="I181" i="2"/>
  <c r="H181" i="2"/>
  <c r="G174" i="2"/>
  <c r="I174" i="2"/>
  <c r="H174" i="2"/>
  <c r="H13" i="2"/>
  <c r="I13" i="2"/>
  <c r="G13" i="2"/>
  <c r="H196" i="2"/>
  <c r="G196" i="2"/>
  <c r="I196" i="2"/>
  <c r="G178" i="2"/>
  <c r="H178" i="2"/>
  <c r="I178" i="2"/>
  <c r="I17" i="2"/>
  <c r="H17" i="2"/>
  <c r="G17" i="2"/>
  <c r="H26" i="2"/>
  <c r="I26" i="2"/>
  <c r="G26" i="2"/>
  <c r="H74" i="2"/>
  <c r="I74" i="2"/>
  <c r="G74" i="2"/>
  <c r="G200" i="2"/>
  <c r="H200" i="2"/>
  <c r="I200" i="2"/>
  <c r="D68" i="2"/>
  <c r="B68" i="2"/>
  <c r="C68" i="2"/>
  <c r="D136" i="2"/>
  <c r="B136" i="2"/>
  <c r="C136" i="2"/>
  <c r="B98" i="2"/>
  <c r="C98" i="2"/>
  <c r="D98" i="2"/>
  <c r="B29" i="2"/>
  <c r="D29" i="2"/>
  <c r="C29" i="2"/>
  <c r="D126" i="2"/>
  <c r="B126" i="2"/>
  <c r="C126" i="2"/>
  <c r="B79" i="2"/>
  <c r="C79" i="2"/>
  <c r="D79" i="2"/>
  <c r="C184" i="2"/>
  <c r="D184" i="2"/>
  <c r="B184" i="2"/>
  <c r="C151" i="2"/>
  <c r="B151" i="2"/>
  <c r="D151" i="2"/>
  <c r="B109" i="2"/>
  <c r="C109" i="2"/>
  <c r="D109" i="2"/>
  <c r="D63" i="2"/>
  <c r="B63" i="2"/>
  <c r="C63" i="2"/>
  <c r="B12" i="2"/>
  <c r="D12" i="2"/>
  <c r="C12" i="2"/>
  <c r="B171" i="2"/>
  <c r="C171" i="2"/>
  <c r="D171" i="2"/>
  <c r="B170" i="2"/>
  <c r="C170" i="2"/>
  <c r="D170" i="2"/>
  <c r="B138" i="2"/>
  <c r="D138" i="2"/>
  <c r="C138" i="2"/>
  <c r="B47" i="2"/>
  <c r="C47" i="2"/>
  <c r="D47" i="2"/>
  <c r="C120" i="2"/>
  <c r="B120" i="2"/>
  <c r="D120" i="2"/>
  <c r="C88" i="2"/>
  <c r="D88" i="2"/>
  <c r="B88" i="2"/>
  <c r="B15" i="2"/>
  <c r="C15" i="2"/>
  <c r="D15" i="2"/>
  <c r="D181" i="2"/>
  <c r="B181" i="2"/>
  <c r="C181" i="2"/>
  <c r="B149" i="2"/>
  <c r="C149" i="2"/>
  <c r="D149" i="2"/>
  <c r="B73" i="2"/>
  <c r="C73" i="2"/>
  <c r="D73" i="2"/>
  <c r="C192" i="2"/>
  <c r="B192" i="2"/>
  <c r="D192" i="2"/>
  <c r="C95" i="2"/>
  <c r="D95" i="2"/>
  <c r="B95" i="2"/>
  <c r="D26" i="2"/>
  <c r="B26" i="2"/>
  <c r="C26" i="2"/>
  <c r="I152" i="2"/>
  <c r="H152" i="2"/>
  <c r="G152" i="2"/>
  <c r="G27" i="2"/>
  <c r="H27" i="2"/>
  <c r="I27" i="2"/>
  <c r="I109" i="2"/>
  <c r="H109" i="2"/>
  <c r="G109" i="2"/>
  <c r="G165" i="2"/>
  <c r="H165" i="2"/>
  <c r="I165" i="2"/>
  <c r="I156" i="2"/>
  <c r="G156" i="2"/>
  <c r="H156" i="2"/>
  <c r="H54" i="2"/>
  <c r="I54" i="2"/>
  <c r="G54" i="2"/>
  <c r="I117" i="2"/>
  <c r="H117" i="2"/>
  <c r="G117" i="2"/>
  <c r="H197" i="2"/>
  <c r="I197" i="2"/>
  <c r="G197" i="2"/>
  <c r="H128" i="2"/>
  <c r="G128" i="2"/>
  <c r="I128" i="2"/>
  <c r="G107" i="2"/>
  <c r="I107" i="2"/>
  <c r="H107" i="2"/>
  <c r="H162" i="2"/>
  <c r="G162" i="2"/>
  <c r="I162" i="2"/>
  <c r="G137" i="2"/>
  <c r="H137" i="2"/>
  <c r="I137" i="2"/>
  <c r="I69" i="2"/>
  <c r="G69" i="2"/>
  <c r="H69" i="2"/>
  <c r="I105" i="2"/>
  <c r="H105" i="2"/>
  <c r="G105" i="2"/>
  <c r="G60" i="2"/>
  <c r="H60" i="2"/>
  <c r="I60" i="2"/>
  <c r="I73" i="2"/>
  <c r="G73" i="2"/>
  <c r="H73" i="2"/>
  <c r="I113" i="2"/>
  <c r="H113" i="2"/>
  <c r="G113" i="2"/>
  <c r="G64" i="2"/>
  <c r="I64" i="2"/>
  <c r="H64" i="2"/>
  <c r="I77" i="2"/>
  <c r="G77" i="2"/>
  <c r="H77" i="2"/>
  <c r="I121" i="2"/>
  <c r="G121" i="2"/>
  <c r="H121" i="2"/>
  <c r="H86" i="2"/>
  <c r="I86" i="2"/>
  <c r="G86" i="2"/>
  <c r="H438" i="2"/>
  <c r="G352" i="2"/>
  <c r="I349" i="2"/>
  <c r="I357" i="2"/>
  <c r="H357" i="2"/>
  <c r="G246" i="2"/>
  <c r="G359" i="2"/>
  <c r="G438" i="2"/>
  <c r="I401" i="2"/>
  <c r="G493" i="2"/>
  <c r="H401" i="2"/>
  <c r="H475" i="2"/>
  <c r="H205" i="2"/>
  <c r="G424" i="2"/>
  <c r="H496" i="2"/>
  <c r="H246" i="2"/>
  <c r="H376" i="2"/>
  <c r="H353" i="2"/>
  <c r="I407" i="2"/>
  <c r="I454" i="2"/>
  <c r="I287" i="2"/>
  <c r="G223" i="2"/>
  <c r="H298" i="2"/>
  <c r="H414" i="2"/>
  <c r="H408" i="2"/>
  <c r="I398" i="2"/>
  <c r="G287" i="2"/>
  <c r="G451" i="2"/>
  <c r="G325" i="2"/>
  <c r="G423" i="2"/>
  <c r="H224" i="2"/>
  <c r="H432" i="2"/>
  <c r="I481" i="2"/>
  <c r="G387" i="2"/>
  <c r="H487" i="2"/>
  <c r="H282" i="2"/>
  <c r="H424" i="2"/>
  <c r="G487" i="2"/>
  <c r="I496" i="2"/>
  <c r="I282" i="2"/>
  <c r="I383" i="2"/>
  <c r="H213" i="2"/>
  <c r="I322" i="2"/>
  <c r="H413" i="2"/>
  <c r="G326" i="2"/>
  <c r="I425" i="2"/>
  <c r="G420" i="2"/>
  <c r="I207" i="2"/>
  <c r="H448" i="2"/>
  <c r="G379" i="2"/>
  <c r="H273" i="2"/>
  <c r="H421" i="2"/>
  <c r="H235" i="2"/>
  <c r="G412" i="2"/>
  <c r="I470" i="2"/>
  <c r="H304" i="2"/>
  <c r="G413" i="2"/>
  <c r="I370" i="2"/>
  <c r="G207" i="2"/>
  <c r="H226" i="2"/>
  <c r="G421" i="2"/>
  <c r="I378" i="2"/>
  <c r="H296" i="2"/>
  <c r="H365" i="2"/>
  <c r="H370" i="2"/>
  <c r="G226" i="2"/>
  <c r="I304" i="2"/>
  <c r="I463" i="2"/>
  <c r="H474" i="2"/>
  <c r="G225" i="2"/>
  <c r="G378" i="2"/>
  <c r="G296" i="2"/>
  <c r="G215" i="2"/>
  <c r="G365" i="2"/>
  <c r="I212" i="2"/>
  <c r="H364" i="2"/>
  <c r="I215" i="2"/>
  <c r="H248" i="2"/>
  <c r="H354" i="2"/>
  <c r="I364" i="2"/>
  <c r="I318" i="2"/>
  <c r="I354" i="2"/>
  <c r="G275" i="2"/>
  <c r="G281" i="2"/>
  <c r="G318" i="2"/>
  <c r="I275" i="2"/>
  <c r="H281" i="2"/>
  <c r="I399" i="2"/>
  <c r="G471" i="2"/>
  <c r="G399" i="2"/>
  <c r="I471" i="2"/>
  <c r="G254" i="2"/>
  <c r="G306" i="2"/>
  <c r="G232" i="2"/>
  <c r="I209" i="2"/>
  <c r="I257" i="2"/>
  <c r="H211" i="2"/>
  <c r="H356" i="2"/>
  <c r="I348" i="2"/>
  <c r="G349" i="2"/>
  <c r="I447" i="2"/>
  <c r="I232" i="2"/>
  <c r="G211" i="2"/>
  <c r="H306" i="2"/>
  <c r="G348" i="2"/>
  <c r="H482" i="2"/>
  <c r="G209" i="2"/>
  <c r="G257" i="2"/>
  <c r="I356" i="2"/>
  <c r="I488" i="2"/>
  <c r="I411" i="2"/>
  <c r="H254" i="2"/>
  <c r="G316" i="2"/>
  <c r="H317" i="2"/>
  <c r="H280" i="2"/>
  <c r="I297" i="2"/>
  <c r="G212" i="2"/>
  <c r="H259" i="2"/>
  <c r="I213" i="2"/>
  <c r="G474" i="2"/>
  <c r="I255" i="2"/>
  <c r="G473" i="2"/>
  <c r="G284" i="2"/>
  <c r="G437" i="2"/>
  <c r="H347" i="2"/>
  <c r="I437" i="2"/>
  <c r="I355" i="2"/>
  <c r="I238" i="2"/>
  <c r="H292" i="2"/>
  <c r="G402" i="2"/>
  <c r="H242" i="2"/>
  <c r="I436" i="2"/>
  <c r="G231" i="2"/>
  <c r="I231" i="2"/>
  <c r="I418" i="2"/>
  <c r="I316" i="2"/>
  <c r="G250" i="2"/>
  <c r="G293" i="2"/>
  <c r="H320" i="2"/>
  <c r="G222" i="2"/>
  <c r="G317" i="2"/>
  <c r="G385" i="2"/>
  <c r="G285" i="2"/>
  <c r="G342" i="2"/>
  <c r="H344" i="2"/>
  <c r="I274" i="2"/>
  <c r="H452" i="2"/>
  <c r="G329" i="2"/>
  <c r="G374" i="2"/>
  <c r="H374" i="2"/>
  <c r="I313" i="2"/>
  <c r="H313" i="2"/>
  <c r="H219" i="2"/>
  <c r="H352" i="2"/>
  <c r="I247" i="2"/>
  <c r="G336" i="2"/>
  <c r="I377" i="2"/>
  <c r="I263" i="2"/>
  <c r="G247" i="2"/>
  <c r="I417" i="2"/>
  <c r="H377" i="2"/>
  <c r="G263" i="2"/>
  <c r="I483" i="2"/>
  <c r="I468" i="2"/>
  <c r="H204" i="2"/>
  <c r="H227" i="2"/>
  <c r="I453" i="2"/>
  <c r="I469" i="2"/>
  <c r="H358" i="2"/>
  <c r="I452" i="2"/>
  <c r="H469" i="2"/>
  <c r="H336" i="2"/>
  <c r="I329" i="2"/>
  <c r="H453" i="2"/>
  <c r="G358" i="2"/>
  <c r="I312" i="2"/>
  <c r="I408" i="2"/>
  <c r="G414" i="2"/>
  <c r="G289" i="2"/>
  <c r="G363" i="2"/>
  <c r="G323" i="2"/>
  <c r="I360" i="2"/>
  <c r="H476" i="2"/>
  <c r="G339" i="2"/>
  <c r="G260" i="2"/>
  <c r="I271" i="2"/>
  <c r="G460" i="2"/>
  <c r="H382" i="2"/>
  <c r="H484" i="2"/>
  <c r="H279" i="2"/>
  <c r="G472" i="2"/>
  <c r="H218" i="2"/>
  <c r="G230" i="2"/>
  <c r="I201" i="2"/>
  <c r="H390" i="2"/>
  <c r="H208" i="2"/>
  <c r="H458" i="2"/>
  <c r="G489" i="2"/>
  <c r="G396" i="2"/>
  <c r="I392" i="2"/>
  <c r="G234" i="2"/>
  <c r="I493" i="2"/>
  <c r="G303" i="2"/>
  <c r="H460" i="2"/>
  <c r="I234" i="2"/>
  <c r="H303" i="2"/>
  <c r="I475" i="2"/>
  <c r="H312" i="2"/>
  <c r="I325" i="2"/>
  <c r="H472" i="2"/>
  <c r="I223" i="2"/>
  <c r="G439" i="2"/>
  <c r="I476" i="2"/>
  <c r="H423" i="2"/>
  <c r="H289" i="2"/>
  <c r="H201" i="2"/>
  <c r="G398" i="2"/>
  <c r="H260" i="2"/>
  <c r="G407" i="2"/>
  <c r="H360" i="2"/>
  <c r="I477" i="2"/>
  <c r="G391" i="2"/>
  <c r="I382" i="2"/>
  <c r="I279" i="2"/>
  <c r="I451" i="2"/>
  <c r="H323" i="2"/>
  <c r="H363" i="2"/>
  <c r="I337" i="2"/>
  <c r="H339" i="2"/>
  <c r="G271" i="2"/>
  <c r="G298" i="2"/>
  <c r="H269" i="2"/>
  <c r="I375" i="2"/>
  <c r="G324" i="2"/>
  <c r="I276" i="2"/>
  <c r="I484" i="2"/>
  <c r="H334" i="2"/>
  <c r="I428" i="2"/>
  <c r="I345" i="2"/>
  <c r="I446" i="2"/>
  <c r="G269" i="2"/>
  <c r="G224" i="2"/>
  <c r="H375" i="2"/>
  <c r="I324" i="2"/>
  <c r="G428" i="2"/>
  <c r="I386" i="2"/>
  <c r="G337" i="2"/>
  <c r="H276" i="2"/>
  <c r="H331" i="2"/>
  <c r="H345" i="2"/>
  <c r="I368" i="2"/>
  <c r="G395" i="2"/>
  <c r="I334" i="2"/>
  <c r="G481" i="2"/>
  <c r="I387" i="2"/>
  <c r="I340" i="2"/>
  <c r="I390" i="2"/>
  <c r="G208" i="2"/>
  <c r="G383" i="2"/>
  <c r="I341" i="2"/>
  <c r="H489" i="2"/>
  <c r="I396" i="2"/>
  <c r="G331" i="2"/>
  <c r="G340" i="2"/>
  <c r="H341" i="2"/>
  <c r="G218" i="2"/>
  <c r="G446" i="2"/>
  <c r="G403" i="2"/>
  <c r="G386" i="2"/>
  <c r="G432" i="2"/>
  <c r="H368" i="2"/>
  <c r="H261" i="2"/>
  <c r="H395" i="2"/>
  <c r="H429" i="2"/>
  <c r="H230" i="2"/>
  <c r="H485" i="2"/>
  <c r="H277" i="2"/>
  <c r="G443" i="2"/>
  <c r="I492" i="2"/>
  <c r="I458" i="2"/>
  <c r="G392" i="2"/>
  <c r="H403" i="2"/>
  <c r="H439" i="2"/>
  <c r="G429" i="2"/>
  <c r="G485" i="2"/>
  <c r="H477" i="2"/>
  <c r="I391" i="2"/>
  <c r="G261" i="2"/>
  <c r="G277" i="2"/>
  <c r="G320" i="2"/>
  <c r="I222" i="2"/>
  <c r="I480" i="2"/>
  <c r="H402" i="2"/>
  <c r="I347" i="2"/>
  <c r="I250" i="2"/>
  <c r="G344" i="2"/>
  <c r="G236" i="2"/>
  <c r="H274" i="2"/>
  <c r="I280" i="2"/>
  <c r="H486" i="2"/>
  <c r="H480" i="2"/>
  <c r="G498" i="2"/>
  <c r="I342" i="2"/>
  <c r="G311" i="2"/>
  <c r="H293" i="2"/>
  <c r="H236" i="2"/>
  <c r="I486" i="2"/>
  <c r="I498" i="2"/>
  <c r="H311" i="2"/>
  <c r="I292" i="2"/>
  <c r="G464" i="2"/>
  <c r="H237" i="2"/>
  <c r="H397" i="2"/>
  <c r="H436" i="2"/>
  <c r="I427" i="2"/>
  <c r="G242" i="2"/>
  <c r="H464" i="2"/>
  <c r="G237" i="2"/>
  <c r="I397" i="2"/>
  <c r="H238" i="2"/>
  <c r="G355" i="2"/>
  <c r="I385" i="2"/>
  <c r="H285" i="2"/>
  <c r="H255" i="2"/>
  <c r="I473" i="2"/>
  <c r="H284" i="2"/>
  <c r="G427" i="2"/>
  <c r="H297" i="2"/>
  <c r="H418" i="2"/>
  <c r="C373" i="2"/>
  <c r="D373" i="2"/>
  <c r="B373" i="2"/>
  <c r="B287" i="2"/>
  <c r="C287" i="2"/>
  <c r="D287" i="2"/>
  <c r="B426" i="2"/>
  <c r="D426" i="2"/>
  <c r="C426" i="2"/>
  <c r="C270" i="2"/>
  <c r="D270" i="2"/>
  <c r="B270" i="2"/>
  <c r="B487" i="2"/>
  <c r="D487" i="2"/>
  <c r="C487" i="2"/>
  <c r="B409" i="2"/>
  <c r="D409" i="2"/>
  <c r="C409" i="2"/>
  <c r="C331" i="2"/>
  <c r="B331" i="2"/>
  <c r="D331" i="2"/>
  <c r="C428" i="2"/>
  <c r="D428" i="2"/>
  <c r="B428" i="2"/>
  <c r="B453" i="2"/>
  <c r="D453" i="2"/>
  <c r="C453" i="2"/>
  <c r="D367" i="2"/>
  <c r="B367" i="2"/>
  <c r="C367" i="2"/>
  <c r="D289" i="2"/>
  <c r="B289" i="2"/>
  <c r="C289" i="2"/>
  <c r="C492" i="2"/>
  <c r="B492" i="2"/>
  <c r="D492" i="2"/>
  <c r="B213" i="2"/>
  <c r="D213" i="2"/>
  <c r="C213" i="2"/>
  <c r="C216" i="2"/>
  <c r="D216" i="2"/>
  <c r="B216" i="2"/>
  <c r="B439" i="2"/>
  <c r="C439" i="2"/>
  <c r="D439" i="2"/>
  <c r="B361" i="2"/>
  <c r="C361" i="2"/>
  <c r="D361" i="2"/>
  <c r="B283" i="2"/>
  <c r="C283" i="2"/>
  <c r="D283" i="2"/>
  <c r="D294" i="2"/>
  <c r="B294" i="2"/>
  <c r="C294" i="2"/>
  <c r="B204" i="2"/>
  <c r="C204" i="2"/>
  <c r="D204" i="2"/>
  <c r="D433" i="2"/>
  <c r="B433" i="2"/>
  <c r="C433" i="2"/>
  <c r="C355" i="2"/>
  <c r="D355" i="2"/>
  <c r="B355" i="2"/>
  <c r="C285" i="2"/>
  <c r="B285" i="2"/>
  <c r="D285" i="2"/>
  <c r="C494" i="2"/>
  <c r="D494" i="2"/>
  <c r="B494" i="2"/>
  <c r="B416" i="2"/>
  <c r="D416" i="2"/>
  <c r="C416" i="2"/>
  <c r="B338" i="2"/>
  <c r="C338" i="2"/>
  <c r="D338" i="2"/>
  <c r="C260" i="2"/>
  <c r="D260" i="2"/>
  <c r="B260" i="2"/>
  <c r="D404" i="2"/>
  <c r="B404" i="2"/>
  <c r="C404" i="2"/>
  <c r="B463" i="2"/>
  <c r="C463" i="2"/>
  <c r="D463" i="2"/>
  <c r="B307" i="2"/>
  <c r="C307" i="2"/>
  <c r="D307" i="2"/>
  <c r="B226" i="2"/>
  <c r="D226" i="2"/>
  <c r="C226" i="2"/>
  <c r="B493" i="2"/>
  <c r="C493" i="2"/>
  <c r="D493" i="2"/>
  <c r="B407" i="2"/>
  <c r="D407" i="2"/>
  <c r="C407" i="2"/>
  <c r="C329" i="2"/>
  <c r="D329" i="2"/>
  <c r="B329" i="2"/>
  <c r="C251" i="2"/>
  <c r="D251" i="2"/>
  <c r="B251" i="2"/>
  <c r="C468" i="2"/>
  <c r="B468" i="2"/>
  <c r="D468" i="2"/>
  <c r="B437" i="2"/>
  <c r="C437" i="2"/>
  <c r="D437" i="2"/>
  <c r="B351" i="2"/>
  <c r="C351" i="2"/>
  <c r="D351" i="2"/>
  <c r="B273" i="2"/>
  <c r="C273" i="2"/>
  <c r="D273" i="2"/>
  <c r="B490" i="2"/>
  <c r="D490" i="2"/>
  <c r="C490" i="2"/>
  <c r="C334" i="2"/>
  <c r="D334" i="2"/>
  <c r="B334" i="2"/>
  <c r="C256" i="2"/>
  <c r="B256" i="2"/>
  <c r="D256" i="2"/>
  <c r="D473" i="2"/>
  <c r="B473" i="2"/>
  <c r="C473" i="2"/>
  <c r="C395" i="2"/>
  <c r="D395" i="2"/>
  <c r="B395" i="2"/>
  <c r="C205" i="2"/>
  <c r="B205" i="2"/>
  <c r="D205" i="2"/>
  <c r="B431" i="2"/>
  <c r="C431" i="2"/>
  <c r="D431" i="2"/>
  <c r="D353" i="2"/>
  <c r="B353" i="2"/>
  <c r="C353" i="2"/>
  <c r="D275" i="2"/>
  <c r="B275" i="2"/>
  <c r="C275" i="2"/>
  <c r="B286" i="2"/>
  <c r="C286" i="2"/>
  <c r="D286" i="2"/>
  <c r="D425" i="2"/>
  <c r="B425" i="2"/>
  <c r="C425" i="2"/>
  <c r="C347" i="2"/>
  <c r="D347" i="2"/>
  <c r="B347" i="2"/>
  <c r="D358" i="2"/>
  <c r="B358" i="2"/>
  <c r="C358" i="2"/>
  <c r="B280" i="2"/>
  <c r="D280" i="2"/>
  <c r="C280" i="2"/>
  <c r="D497" i="2"/>
  <c r="B497" i="2"/>
  <c r="C497" i="2"/>
  <c r="B419" i="2"/>
  <c r="C419" i="2"/>
  <c r="D419" i="2"/>
  <c r="C349" i="2"/>
  <c r="B349" i="2"/>
  <c r="D349" i="2"/>
  <c r="B263" i="2"/>
  <c r="C263" i="2"/>
  <c r="D263" i="2"/>
  <c r="B480" i="2"/>
  <c r="C480" i="2"/>
  <c r="D480" i="2"/>
  <c r="B402" i="2"/>
  <c r="C402" i="2"/>
  <c r="D402" i="2"/>
  <c r="C324" i="2"/>
  <c r="D324" i="2"/>
  <c r="B324" i="2"/>
  <c r="C321" i="2"/>
  <c r="D321" i="2"/>
  <c r="B321" i="2"/>
  <c r="C343" i="2"/>
  <c r="D343" i="2"/>
  <c r="B343" i="2"/>
  <c r="B223" i="2"/>
  <c r="C223" i="2"/>
  <c r="D223" i="2"/>
  <c r="C385" i="2"/>
  <c r="D385" i="2"/>
  <c r="B385" i="2"/>
  <c r="B412" i="2"/>
  <c r="C412" i="2"/>
  <c r="D412" i="2"/>
  <c r="B310" i="2"/>
  <c r="C310" i="2"/>
  <c r="D310" i="2"/>
  <c r="C232" i="2"/>
  <c r="B232" i="2"/>
  <c r="D232" i="2"/>
  <c r="D449" i="2"/>
  <c r="B449" i="2"/>
  <c r="C449" i="2"/>
  <c r="C371" i="2"/>
  <c r="B371" i="2"/>
  <c r="D371" i="2"/>
  <c r="B254" i="2"/>
  <c r="C254" i="2"/>
  <c r="D254" i="2"/>
  <c r="B471" i="2"/>
  <c r="C471" i="2"/>
  <c r="D471" i="2"/>
  <c r="C393" i="2"/>
  <c r="D393" i="2"/>
  <c r="B393" i="2"/>
  <c r="C315" i="2"/>
  <c r="D315" i="2"/>
  <c r="B315" i="2"/>
  <c r="D348" i="2"/>
  <c r="B348" i="2"/>
  <c r="C348" i="2"/>
  <c r="B415" i="2"/>
  <c r="D415" i="2"/>
  <c r="C415" i="2"/>
  <c r="B337" i="2"/>
  <c r="C337" i="2"/>
  <c r="D337" i="2"/>
  <c r="C259" i="2"/>
  <c r="D259" i="2"/>
  <c r="B259" i="2"/>
  <c r="C398" i="2"/>
  <c r="D398" i="2"/>
  <c r="B398" i="2"/>
  <c r="C320" i="2"/>
  <c r="B320" i="2"/>
  <c r="D320" i="2"/>
  <c r="D242" i="2"/>
  <c r="B242" i="2"/>
  <c r="C242" i="2"/>
  <c r="B459" i="2"/>
  <c r="C459" i="2"/>
  <c r="D459" i="2"/>
  <c r="B278" i="2"/>
  <c r="C278" i="2"/>
  <c r="D278" i="2"/>
  <c r="B495" i="2"/>
  <c r="C495" i="2"/>
  <c r="D495" i="2"/>
  <c r="B417" i="2"/>
  <c r="C417" i="2"/>
  <c r="D417" i="2"/>
  <c r="C339" i="2"/>
  <c r="B339" i="2"/>
  <c r="D339" i="2"/>
  <c r="B350" i="2"/>
  <c r="C350" i="2"/>
  <c r="D350" i="2"/>
  <c r="D272" i="2"/>
  <c r="C272" i="2"/>
  <c r="B272" i="2"/>
  <c r="D489" i="2"/>
  <c r="C489" i="2"/>
  <c r="B489" i="2"/>
  <c r="B411" i="2"/>
  <c r="D411" i="2"/>
  <c r="C411" i="2"/>
  <c r="D422" i="2"/>
  <c r="C422" i="2"/>
  <c r="B422" i="2"/>
  <c r="B344" i="2"/>
  <c r="D344" i="2"/>
  <c r="C344" i="2"/>
  <c r="D266" i="2"/>
  <c r="C266" i="2"/>
  <c r="B266" i="2"/>
  <c r="B483" i="2"/>
  <c r="C483" i="2"/>
  <c r="D483" i="2"/>
  <c r="B413" i="2"/>
  <c r="C413" i="2"/>
  <c r="D413" i="2"/>
  <c r="B327" i="2"/>
  <c r="C327" i="2"/>
  <c r="D327" i="2"/>
  <c r="B249" i="2"/>
  <c r="D249" i="2"/>
  <c r="C249" i="2"/>
  <c r="B466" i="2"/>
  <c r="D466" i="2"/>
  <c r="C466" i="2"/>
  <c r="C388" i="2"/>
  <c r="D388" i="2"/>
  <c r="B388" i="2"/>
  <c r="B243" i="2"/>
  <c r="C243" i="2"/>
  <c r="D243" i="2"/>
  <c r="B482" i="2"/>
  <c r="D482" i="2"/>
  <c r="C482" i="2"/>
  <c r="B374" i="2"/>
  <c r="C374" i="2"/>
  <c r="D374" i="2"/>
  <c r="D296" i="2"/>
  <c r="B296" i="2"/>
  <c r="C296" i="2"/>
  <c r="C208" i="2"/>
  <c r="D208" i="2"/>
  <c r="B208" i="2"/>
  <c r="B435" i="2"/>
  <c r="D435" i="2"/>
  <c r="C435" i="2"/>
  <c r="B318" i="2"/>
  <c r="C318" i="2"/>
  <c r="D318" i="2"/>
  <c r="B240" i="2"/>
  <c r="D240" i="2"/>
  <c r="C240" i="2"/>
  <c r="D457" i="2"/>
  <c r="B457" i="2"/>
  <c r="C457" i="2"/>
  <c r="D379" i="2"/>
  <c r="B379" i="2"/>
  <c r="C379" i="2"/>
  <c r="B262" i="2"/>
  <c r="C262" i="2"/>
  <c r="D262" i="2"/>
  <c r="B479" i="2"/>
  <c r="D479" i="2"/>
  <c r="C479" i="2"/>
  <c r="B401" i="2"/>
  <c r="C401" i="2"/>
  <c r="D401" i="2"/>
  <c r="C323" i="2"/>
  <c r="D323" i="2"/>
  <c r="B323" i="2"/>
  <c r="B209" i="2"/>
  <c r="C209" i="2"/>
  <c r="D209" i="2"/>
  <c r="C253" i="2"/>
  <c r="B253" i="2"/>
  <c r="D253" i="2"/>
  <c r="C462" i="2"/>
  <c r="D462" i="2"/>
  <c r="B462" i="2"/>
  <c r="B384" i="2"/>
  <c r="C384" i="2"/>
  <c r="D384" i="2"/>
  <c r="D306" i="2"/>
  <c r="B306" i="2"/>
  <c r="C306" i="2"/>
  <c r="D227" i="2"/>
  <c r="C227" i="2"/>
  <c r="B227" i="2"/>
  <c r="B342" i="2"/>
  <c r="C342" i="2"/>
  <c r="D342" i="2"/>
  <c r="B264" i="2"/>
  <c r="D264" i="2"/>
  <c r="C264" i="2"/>
  <c r="D481" i="2"/>
  <c r="B481" i="2"/>
  <c r="C481" i="2"/>
  <c r="C403" i="2"/>
  <c r="D403" i="2"/>
  <c r="B403" i="2"/>
  <c r="D414" i="2"/>
  <c r="B414" i="2"/>
  <c r="C414" i="2"/>
  <c r="D336" i="2"/>
  <c r="C336" i="2"/>
  <c r="B336" i="2"/>
  <c r="B258" i="2"/>
  <c r="C258" i="2"/>
  <c r="D258" i="2"/>
  <c r="B475" i="2"/>
  <c r="C475" i="2"/>
  <c r="D475" i="2"/>
  <c r="C277" i="2"/>
  <c r="B277" i="2"/>
  <c r="D277" i="2"/>
  <c r="C486" i="2"/>
  <c r="B486" i="2"/>
  <c r="D486" i="2"/>
  <c r="B408" i="2"/>
  <c r="D408" i="2"/>
  <c r="C408" i="2"/>
  <c r="D330" i="2"/>
  <c r="C330" i="2"/>
  <c r="B330" i="2"/>
  <c r="B252" i="2"/>
  <c r="D252" i="2"/>
  <c r="C252" i="2"/>
  <c r="C210" i="2"/>
  <c r="D210" i="2"/>
  <c r="B210" i="2"/>
  <c r="B477" i="2"/>
  <c r="D477" i="2"/>
  <c r="C477" i="2"/>
  <c r="B391" i="2"/>
  <c r="D391" i="2"/>
  <c r="C391" i="2"/>
  <c r="B313" i="2"/>
  <c r="C313" i="2"/>
  <c r="D313" i="2"/>
  <c r="D235" i="2"/>
  <c r="B235" i="2"/>
  <c r="C235" i="2"/>
  <c r="C452" i="2"/>
  <c r="B452" i="2"/>
  <c r="D452" i="2"/>
  <c r="C460" i="2"/>
  <c r="B460" i="2"/>
  <c r="D460" i="2"/>
  <c r="C265" i="2"/>
  <c r="D265" i="2"/>
  <c r="B265" i="2"/>
  <c r="B246" i="2"/>
  <c r="C246" i="2"/>
  <c r="D246" i="2"/>
  <c r="C228" i="2"/>
  <c r="D228" i="2"/>
  <c r="B228" i="2"/>
  <c r="C438" i="2"/>
  <c r="D438" i="2"/>
  <c r="B438" i="2"/>
  <c r="D360" i="2"/>
  <c r="C360" i="2"/>
  <c r="B360" i="2"/>
  <c r="D282" i="2"/>
  <c r="C282" i="2"/>
  <c r="B282" i="2"/>
  <c r="B499" i="2"/>
  <c r="D499" i="2"/>
  <c r="C499" i="2"/>
  <c r="B382" i="2"/>
  <c r="C382" i="2"/>
  <c r="D382" i="2"/>
  <c r="B304" i="2"/>
  <c r="D304" i="2"/>
  <c r="C304" i="2"/>
  <c r="C222" i="2"/>
  <c r="D222" i="2"/>
  <c r="B222" i="2"/>
  <c r="B443" i="2"/>
  <c r="D443" i="2"/>
  <c r="C443" i="2"/>
  <c r="B326" i="2"/>
  <c r="C326" i="2"/>
  <c r="D326" i="2"/>
  <c r="D248" i="2"/>
  <c r="C248" i="2"/>
  <c r="B248" i="2"/>
  <c r="D465" i="2"/>
  <c r="B465" i="2"/>
  <c r="C465" i="2"/>
  <c r="D387" i="2"/>
  <c r="B387" i="2"/>
  <c r="C387" i="2"/>
  <c r="C317" i="2"/>
  <c r="B317" i="2"/>
  <c r="D317" i="2"/>
  <c r="B230" i="2"/>
  <c r="C230" i="2"/>
  <c r="D230" i="2"/>
  <c r="B448" i="2"/>
  <c r="C448" i="2"/>
  <c r="D448" i="2"/>
  <c r="D370" i="2"/>
  <c r="B370" i="2"/>
  <c r="C370" i="2"/>
  <c r="C292" i="2"/>
  <c r="D292" i="2"/>
  <c r="B292" i="2"/>
  <c r="D406" i="2"/>
  <c r="B406" i="2"/>
  <c r="C406" i="2"/>
  <c r="B328" i="2"/>
  <c r="D328" i="2"/>
  <c r="C328" i="2"/>
  <c r="C250" i="2"/>
  <c r="B250" i="2"/>
  <c r="D250" i="2"/>
  <c r="B467" i="2"/>
  <c r="D467" i="2"/>
  <c r="C467" i="2"/>
  <c r="D225" i="2"/>
  <c r="B225" i="2"/>
  <c r="C225" i="2"/>
  <c r="C269" i="2"/>
  <c r="B269" i="2"/>
  <c r="D269" i="2"/>
  <c r="C478" i="2"/>
  <c r="D478" i="2"/>
  <c r="B478" i="2"/>
  <c r="D400" i="2"/>
  <c r="C400" i="2"/>
  <c r="B400" i="2"/>
  <c r="B322" i="2"/>
  <c r="C322" i="2"/>
  <c r="D322" i="2"/>
  <c r="B244" i="2"/>
  <c r="C244" i="2"/>
  <c r="D244" i="2"/>
  <c r="C341" i="2"/>
  <c r="D341" i="2"/>
  <c r="B341" i="2"/>
  <c r="B255" i="2"/>
  <c r="C255" i="2"/>
  <c r="D255" i="2"/>
  <c r="B472" i="2"/>
  <c r="D472" i="2"/>
  <c r="C472" i="2"/>
  <c r="D394" i="2"/>
  <c r="C394" i="2"/>
  <c r="B394" i="2"/>
  <c r="B316" i="2"/>
  <c r="D316" i="2"/>
  <c r="C316" i="2"/>
  <c r="B238" i="2"/>
  <c r="C238" i="2"/>
  <c r="D238" i="2"/>
  <c r="B455" i="2"/>
  <c r="D455" i="2"/>
  <c r="C455" i="2"/>
  <c r="B377" i="2"/>
  <c r="C377" i="2"/>
  <c r="D377" i="2"/>
  <c r="D299" i="2"/>
  <c r="B299" i="2"/>
  <c r="C299" i="2"/>
  <c r="C476" i="2"/>
  <c r="B476" i="2"/>
  <c r="D476" i="2"/>
  <c r="B485" i="2"/>
  <c r="D485" i="2"/>
  <c r="C485" i="2"/>
  <c r="C293" i="2"/>
  <c r="B293" i="2"/>
  <c r="D293" i="2"/>
  <c r="D424" i="2"/>
  <c r="B424" i="2"/>
  <c r="C424" i="2"/>
  <c r="C346" i="2"/>
  <c r="B346" i="2"/>
  <c r="D346" i="2"/>
  <c r="B268" i="2"/>
  <c r="C268" i="2"/>
  <c r="D268" i="2"/>
  <c r="C237" i="2"/>
  <c r="B237" i="2"/>
  <c r="D237" i="2"/>
  <c r="C446" i="2"/>
  <c r="D446" i="2"/>
  <c r="B446" i="2"/>
  <c r="B368" i="2"/>
  <c r="D368" i="2"/>
  <c r="C368" i="2"/>
  <c r="B290" i="2"/>
  <c r="C290" i="2"/>
  <c r="D290" i="2"/>
  <c r="B390" i="2"/>
  <c r="C390" i="2"/>
  <c r="D390" i="2"/>
  <c r="D312" i="2"/>
  <c r="C312" i="2"/>
  <c r="B312" i="2"/>
  <c r="C234" i="2"/>
  <c r="D234" i="2"/>
  <c r="B234" i="2"/>
  <c r="B451" i="2"/>
  <c r="D451" i="2"/>
  <c r="C451" i="2"/>
  <c r="D231" i="2"/>
  <c r="B231" i="2"/>
  <c r="C231" i="2"/>
  <c r="C381" i="2"/>
  <c r="B381" i="2"/>
  <c r="D381" i="2"/>
  <c r="D295" i="2"/>
  <c r="B295" i="2"/>
  <c r="C295" i="2"/>
  <c r="D206" i="2"/>
  <c r="B206" i="2"/>
  <c r="C206" i="2"/>
  <c r="B434" i="2"/>
  <c r="D434" i="2"/>
  <c r="C434" i="2"/>
  <c r="C356" i="2"/>
  <c r="D356" i="2"/>
  <c r="B356" i="2"/>
  <c r="D217" i="2"/>
  <c r="B217" i="2"/>
  <c r="C217" i="2"/>
  <c r="C261" i="2"/>
  <c r="D261" i="2"/>
  <c r="B261" i="2"/>
  <c r="C470" i="2"/>
  <c r="D470" i="2"/>
  <c r="B470" i="2"/>
  <c r="B392" i="2"/>
  <c r="D392" i="2"/>
  <c r="C392" i="2"/>
  <c r="C314" i="2"/>
  <c r="B314" i="2"/>
  <c r="D314" i="2"/>
  <c r="B236" i="2"/>
  <c r="C236" i="2"/>
  <c r="D236" i="2"/>
  <c r="B333" i="2"/>
  <c r="D333" i="2"/>
  <c r="C333" i="2"/>
  <c r="B247" i="2"/>
  <c r="C247" i="2"/>
  <c r="D247" i="2"/>
  <c r="B464" i="2"/>
  <c r="D464" i="2"/>
  <c r="C464" i="2"/>
  <c r="B386" i="2"/>
  <c r="C386" i="2"/>
  <c r="D386" i="2"/>
  <c r="B308" i="2"/>
  <c r="C308" i="2"/>
  <c r="D308" i="2"/>
  <c r="D405" i="2"/>
  <c r="C405" i="2"/>
  <c r="B405" i="2"/>
  <c r="B319" i="2"/>
  <c r="C319" i="2"/>
  <c r="D319" i="2"/>
  <c r="B241" i="2"/>
  <c r="C241" i="2"/>
  <c r="D241" i="2"/>
  <c r="B458" i="2"/>
  <c r="D458" i="2"/>
  <c r="C458" i="2"/>
  <c r="B380" i="2"/>
  <c r="D380" i="2"/>
  <c r="C380" i="2"/>
  <c r="B302" i="2"/>
  <c r="C302" i="2"/>
  <c r="D302" i="2"/>
  <c r="D220" i="2"/>
  <c r="B220" i="2"/>
  <c r="C220" i="2"/>
  <c r="D441" i="2"/>
  <c r="B441" i="2"/>
  <c r="C441" i="2"/>
  <c r="C363" i="2"/>
  <c r="D363" i="2"/>
  <c r="B363" i="2"/>
  <c r="B218" i="2"/>
  <c r="C218" i="2"/>
  <c r="D218" i="2"/>
  <c r="C207" i="2"/>
  <c r="D207" i="2"/>
  <c r="B207" i="2"/>
  <c r="C357" i="2"/>
  <c r="B357" i="2"/>
  <c r="D357" i="2"/>
  <c r="C271" i="2"/>
  <c r="D271" i="2"/>
  <c r="B271" i="2"/>
  <c r="B488" i="2"/>
  <c r="C488" i="2"/>
  <c r="D488" i="2"/>
  <c r="D410" i="2"/>
  <c r="B410" i="2"/>
  <c r="C410" i="2"/>
  <c r="B332" i="2"/>
  <c r="C332" i="2"/>
  <c r="D332" i="2"/>
  <c r="C301" i="2"/>
  <c r="B301" i="2"/>
  <c r="D301" i="2"/>
  <c r="D203" i="2"/>
  <c r="B203" i="2"/>
  <c r="C203" i="2"/>
  <c r="B432" i="2"/>
  <c r="D432" i="2"/>
  <c r="C432" i="2"/>
  <c r="B354" i="2"/>
  <c r="C354" i="2"/>
  <c r="D354" i="2"/>
  <c r="B276" i="2"/>
  <c r="C276" i="2"/>
  <c r="D276" i="2"/>
  <c r="C201" i="2"/>
  <c r="D201" i="2"/>
  <c r="B201" i="2"/>
  <c r="C245" i="2"/>
  <c r="B245" i="2"/>
  <c r="D245" i="2"/>
  <c r="C454" i="2"/>
  <c r="B454" i="2"/>
  <c r="D454" i="2"/>
  <c r="D376" i="2"/>
  <c r="C376" i="2"/>
  <c r="B376" i="2"/>
  <c r="C298" i="2"/>
  <c r="D298" i="2"/>
  <c r="B298" i="2"/>
  <c r="B212" i="2"/>
  <c r="C212" i="2"/>
  <c r="D212" i="2"/>
  <c r="B445" i="2"/>
  <c r="D445" i="2"/>
  <c r="C445" i="2"/>
  <c r="D359" i="2"/>
  <c r="B359" i="2"/>
  <c r="C359" i="2"/>
  <c r="D281" i="2"/>
  <c r="B281" i="2"/>
  <c r="C281" i="2"/>
  <c r="B498" i="2"/>
  <c r="D498" i="2"/>
  <c r="C498" i="2"/>
  <c r="D420" i="2"/>
  <c r="B420" i="2"/>
  <c r="C420" i="2"/>
  <c r="C325" i="2"/>
  <c r="B325" i="2"/>
  <c r="D325" i="2"/>
  <c r="D239" i="2"/>
  <c r="B239" i="2"/>
  <c r="C239" i="2"/>
  <c r="B456" i="2"/>
  <c r="C456" i="2"/>
  <c r="D456" i="2"/>
  <c r="C378" i="2"/>
  <c r="B378" i="2"/>
  <c r="D378" i="2"/>
  <c r="B300" i="2"/>
  <c r="C300" i="2"/>
  <c r="D300" i="2"/>
  <c r="C397" i="2"/>
  <c r="B397" i="2"/>
  <c r="D397" i="2"/>
  <c r="B311" i="2"/>
  <c r="C311" i="2"/>
  <c r="D311" i="2"/>
  <c r="B233" i="2"/>
  <c r="C233" i="2"/>
  <c r="D233" i="2"/>
  <c r="B450" i="2"/>
  <c r="D450" i="2"/>
  <c r="C450" i="2"/>
  <c r="B372" i="2"/>
  <c r="C372" i="2"/>
  <c r="D372" i="2"/>
  <c r="B202" i="2"/>
  <c r="D202" i="2"/>
  <c r="C202" i="2"/>
  <c r="B469" i="2"/>
  <c r="C469" i="2"/>
  <c r="D469" i="2"/>
  <c r="B383" i="2"/>
  <c r="C383" i="2"/>
  <c r="D383" i="2"/>
  <c r="B305" i="2"/>
  <c r="C305" i="2"/>
  <c r="D305" i="2"/>
  <c r="C224" i="2"/>
  <c r="B224" i="2"/>
  <c r="D224" i="2"/>
  <c r="C444" i="2"/>
  <c r="B444" i="2"/>
  <c r="D444" i="2"/>
  <c r="C5" i="2"/>
  <c r="B5" i="2"/>
  <c r="B366" i="2"/>
  <c r="C366" i="2"/>
  <c r="D366" i="2"/>
  <c r="B288" i="2"/>
  <c r="C288" i="2"/>
  <c r="D288" i="2"/>
  <c r="C427" i="2"/>
  <c r="D427" i="2"/>
  <c r="B427" i="2"/>
  <c r="C399" i="2"/>
  <c r="D399" i="2"/>
  <c r="B399" i="2"/>
  <c r="B429" i="2"/>
  <c r="C429" i="2"/>
  <c r="D429" i="2"/>
  <c r="C421" i="2"/>
  <c r="D421" i="2"/>
  <c r="B421" i="2"/>
  <c r="C335" i="2"/>
  <c r="D335" i="2"/>
  <c r="B335" i="2"/>
  <c r="C257" i="2"/>
  <c r="D257" i="2"/>
  <c r="B257" i="2"/>
  <c r="B474" i="2"/>
  <c r="C474" i="2"/>
  <c r="D474" i="2"/>
  <c r="B396" i="2"/>
  <c r="C396" i="2"/>
  <c r="D396" i="2"/>
  <c r="C215" i="2"/>
  <c r="D215" i="2"/>
  <c r="B215" i="2"/>
  <c r="C365" i="2"/>
  <c r="B365" i="2"/>
  <c r="D365" i="2"/>
  <c r="C279" i="2"/>
  <c r="D279" i="2"/>
  <c r="B279" i="2"/>
  <c r="B496" i="2"/>
  <c r="D496" i="2"/>
  <c r="C496" i="2"/>
  <c r="B418" i="2"/>
  <c r="D418" i="2"/>
  <c r="C418" i="2"/>
  <c r="B340" i="2"/>
  <c r="C340" i="2"/>
  <c r="D340" i="2"/>
  <c r="C309" i="2"/>
  <c r="D309" i="2"/>
  <c r="B309" i="2"/>
  <c r="D219" i="2"/>
  <c r="B219" i="2"/>
  <c r="C219" i="2"/>
  <c r="B440" i="2"/>
  <c r="C440" i="2"/>
  <c r="D440" i="2"/>
  <c r="C362" i="2"/>
  <c r="D362" i="2"/>
  <c r="B362" i="2"/>
  <c r="D284" i="2"/>
  <c r="B284" i="2"/>
  <c r="C284" i="2"/>
  <c r="B423" i="2"/>
  <c r="C423" i="2"/>
  <c r="D423" i="2"/>
  <c r="D345" i="2"/>
  <c r="B345" i="2"/>
  <c r="C345" i="2"/>
  <c r="C267" i="2"/>
  <c r="D267" i="2"/>
  <c r="B267" i="2"/>
  <c r="C484" i="2"/>
  <c r="B484" i="2"/>
  <c r="D484" i="2"/>
  <c r="C389" i="2"/>
  <c r="D389" i="2"/>
  <c r="B389" i="2"/>
  <c r="D303" i="2"/>
  <c r="B303" i="2"/>
  <c r="C303" i="2"/>
  <c r="B221" i="2"/>
  <c r="D221" i="2"/>
  <c r="C221" i="2"/>
  <c r="B442" i="2"/>
  <c r="C442" i="2"/>
  <c r="D442" i="2"/>
  <c r="B364" i="2"/>
  <c r="C364" i="2"/>
  <c r="D364" i="2"/>
  <c r="B461" i="2"/>
  <c r="C461" i="2"/>
  <c r="D461" i="2"/>
  <c r="B375" i="2"/>
  <c r="C375" i="2"/>
  <c r="D375" i="2"/>
  <c r="B297" i="2"/>
  <c r="C297" i="2"/>
  <c r="D297" i="2"/>
  <c r="D211" i="2"/>
  <c r="B211" i="2"/>
  <c r="C211" i="2"/>
  <c r="C436" i="2"/>
  <c r="B436" i="2"/>
  <c r="D436" i="2"/>
  <c r="D229" i="2"/>
  <c r="C229" i="2"/>
  <c r="B229" i="2"/>
  <c r="B447" i="2"/>
  <c r="D447" i="2"/>
  <c r="C447" i="2"/>
  <c r="B369" i="2"/>
  <c r="C369" i="2"/>
  <c r="D369" i="2"/>
  <c r="B291" i="2"/>
  <c r="C291" i="2"/>
  <c r="D291" i="2"/>
  <c r="C214" i="2"/>
  <c r="D214" i="2"/>
  <c r="B214" i="2"/>
  <c r="C430" i="2"/>
  <c r="D430" i="2"/>
  <c r="B430" i="2"/>
  <c r="B352" i="2"/>
  <c r="C352" i="2"/>
  <c r="D352" i="2"/>
  <c r="B274" i="2"/>
  <c r="C274" i="2"/>
  <c r="D274" i="2"/>
  <c r="B491" i="2"/>
  <c r="C491" i="2"/>
  <c r="D491" i="2"/>
</calcChain>
</file>

<file path=xl/sharedStrings.xml><?xml version="1.0" encoding="utf-8"?>
<sst xmlns="http://schemas.openxmlformats.org/spreadsheetml/2006/main" count="28" uniqueCount="11">
  <si>
    <t>Código</t>
  </si>
  <si>
    <t>Descrição</t>
  </si>
  <si>
    <t>Diferença</t>
  </si>
  <si>
    <t>Qtd</t>
  </si>
  <si>
    <t>Qtd L2</t>
  </si>
  <si>
    <t>Qtd L1</t>
  </si>
  <si>
    <t>LISTA1</t>
  </si>
  <si>
    <t>NOME DA PRIMEIRA LISTA</t>
  </si>
  <si>
    <t>NOME DA SEGUNDA LISTA</t>
  </si>
  <si>
    <t>LISTA2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</si>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</sst>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3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0"/>
      <name val="Arial"/>
      <family val="2"/>
    </font>
    <font>
      <sz val="10"/>
      <name val="Arial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1" fillId="0" borderId="0"/>
    <xf numFmtId="0" fontId="12" fillId="0" borderId="0"/>
  </cellStyleXfs>
  <cellXfs count="28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/>
    <xf numFmtId="0" fontId="0" fillId="0" borderId="0" xfId="0" quotePrefix="1"/>
    <xf numFmtId="0" fontId="5" fillId="0" borderId="0" xfId="0" applyFont="1" applyFill="1" applyAlignment="1">
      <alignment horizontal="center" vertical="center"/>
    </xf>
    <xf numFmtId="0" fontId="0" fillId="0" borderId="0" xfId="0" applyFill="1"/>
    <xf numFmtId="0" fontId="6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0" xfId="0" applyFont="1" applyFill="1"/>
    <xf numFmtId="0" fontId="3" fillId="0" borderId="0" xfId="0" applyFont="1" applyFill="1" applyAlignment="1">
      <alignment horizontal="center" vertical="center"/>
    </xf>
    <xf numFmtId="0" fontId="1" fillId="0" borderId="0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7" fillId="0" borderId="0" xfId="0" quotePrefix="1" applyFont="1"/>
    <xf numFmtId="0" fontId="7" fillId="0" borderId="0" xfId="0" applyFont="1"/>
    <xf numFmtId="0" fontId="10" fillId="0" borderId="0" xfId="0" applyFont="1"/>
    <xf numFmtId="0" fontId="0" fillId="0" borderId="0" xfId="0" applyAlignment="1">
      <alignment vertical="center"/>
    </xf>
    <xf numFmtId="0" fontId="0" fillId="0" borderId="0" xfId="0" quotePrefix="1" applyAlignment="1">
      <alignment vertical="center" wrapText="1"/>
    </xf>
    <xf numFmtId="0" fontId="9" fillId="2" borderId="0" xfId="0" applyFont="1" applyFill="1" applyAlignment="1">
      <alignment horizontal="left" vertical="center"/>
    </xf>
    <xf numFmtId="0" fontId="4" fillId="0" borderId="0" xfId="0" applyFont="1" applyFill="1" applyAlignment="1">
      <alignment horizontal="center" wrapText="1"/>
    </xf>
    <xf numFmtId="0" fontId="4" fillId="0" borderId="0" xfId="0" applyFont="1" applyFill="1" applyBorder="1" applyAlignment="1">
      <alignment horizontal="center" wrapText="1"/>
    </xf>
    <xf numFmtId="0" fontId="12" fillId="0" borderId="0" xfId="2"/>
    <xf numFmtId="0" fontId="12" fillId="0" borderId="0" xfId="2"/>
    <xf numFmtId="0" fontId="12" fillId="0" borderId="0" xfId="2"/>
    <xf numFmtId="0" fontId="12" fillId="0" borderId="0" xfId="2"/>
  </cellXfs>
  <cellStyles count="3">
    <cellStyle name="Normal" xfId="0" builtinId="0"/>
    <cellStyle name="Normal 2" xfId="1"/>
    <cellStyle name="Normal 3" xfId="2"/>
  </cellStyles>
  <dxfs count="2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4" tint="-0.24994659260841701"/>
      </font>
      <fill>
        <patternFill>
          <bgColor theme="4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theme="4" tint="-0.24994659260841701"/>
      </font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6795556505021"/>
          <bgColor theme="3" tint="0.39994506668294322"/>
        </patternFill>
      </fill>
    </dxf>
    <dxf>
      <fill>
        <patternFill patternType="solid">
          <fgColor theme="0" tint="-0.1498764000366222"/>
          <bgColor theme="7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font>
        <b/>
        <color theme="1"/>
      </font>
      <border>
        <bottom style="thin">
          <color theme="1"/>
        </bottom>
      </border>
    </dxf>
    <dxf>
      <font>
        <color theme="1"/>
      </font>
      <border>
        <top style="thin">
          <color theme="1"/>
        </top>
        <bottom style="thin">
          <color theme="1"/>
        </bottom>
      </border>
    </dxf>
  </dxfs>
  <tableStyles count="1" defaultTableStyle="TableStyleMedium2" defaultPivotStyle="PivotStyleLight16">
    <tableStyle name="TableStyleLight1 2" pivot="0" count="7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EAEDF2"/>
      <color rgb="FFFFC5C5"/>
      <color rgb="FFFF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Comparacao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hyperlink" Target="#Filtro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Filtro!A1"/><Relationship Id="rId2" Type="http://schemas.openxmlformats.org/officeDocument/2006/relationships/image" Target="../media/image5.png"/><Relationship Id="rId1" Type="http://schemas.openxmlformats.org/officeDocument/2006/relationships/hyperlink" Target="#Inicio!A1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mparacao!A1"/><Relationship Id="rId2" Type="http://schemas.openxmlformats.org/officeDocument/2006/relationships/image" Target="../media/image5.png"/><Relationship Id="rId1" Type="http://schemas.openxmlformats.org/officeDocument/2006/relationships/hyperlink" Target="#Inicio!A1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3072848</xdr:colOff>
      <xdr:row>1</xdr:row>
      <xdr:rowOff>140805</xdr:rowOff>
    </xdr:from>
    <xdr:ext cx="1991058" cy="264560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6D916EF0-F9FB-44DB-BA8C-077B3454F3C1}"/>
            </a:ext>
          </a:extLst>
        </xdr:cNvPr>
        <xdr:cNvSpPr txBox="1"/>
      </xdr:nvSpPr>
      <xdr:spPr>
        <a:xfrm>
          <a:off x="4124739" y="894522"/>
          <a:ext cx="199105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tx2">
                  <a:lumMod val="60000"/>
                  <a:lumOff val="40000"/>
                </a:schemeClr>
              </a:solidFill>
            </a:rPr>
            <a:t>&lt;&lt; Insira o nome da Lista 1 aqui</a:t>
          </a:r>
        </a:p>
      </xdr:txBody>
    </xdr:sp>
    <xdr:clientData/>
  </xdr:oneCellAnchor>
  <xdr:oneCellAnchor>
    <xdr:from>
      <xdr:col>2</xdr:col>
      <xdr:colOff>3072848</xdr:colOff>
      <xdr:row>4</xdr:row>
      <xdr:rowOff>165652</xdr:rowOff>
    </xdr:from>
    <xdr:ext cx="1991058" cy="264560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72BFBC8A-3590-4804-B327-680F07CE81CB}"/>
            </a:ext>
          </a:extLst>
        </xdr:cNvPr>
        <xdr:cNvSpPr txBox="1"/>
      </xdr:nvSpPr>
      <xdr:spPr>
        <a:xfrm>
          <a:off x="4124739" y="1490869"/>
          <a:ext cx="199105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tx2">
                  <a:lumMod val="60000"/>
                  <a:lumOff val="40000"/>
                </a:schemeClr>
              </a:solidFill>
            </a:rPr>
            <a:t>&lt;&lt; Insira o nome da Lista 2 aqui</a:t>
          </a:r>
        </a:p>
      </xdr:txBody>
    </xdr:sp>
    <xdr:clientData/>
  </xdr:oneCellAnchor>
  <xdr:twoCellAnchor>
    <xdr:from>
      <xdr:col>1</xdr:col>
      <xdr:colOff>463830</xdr:colOff>
      <xdr:row>6</xdr:row>
      <xdr:rowOff>190501</xdr:rowOff>
    </xdr:from>
    <xdr:to>
      <xdr:col>1</xdr:col>
      <xdr:colOff>720587</xdr:colOff>
      <xdr:row>6</xdr:row>
      <xdr:rowOff>505241</xdr:rowOff>
    </xdr:to>
    <xdr:cxnSp macro="">
      <xdr:nvCxnSpPr>
        <xdr:cNvPr id="12" name="Conector: Angulado 11">
          <a:extLst>
            <a:ext uri="{FF2B5EF4-FFF2-40B4-BE49-F238E27FC236}">
              <a16:creationId xmlns:a16="http://schemas.microsoft.com/office/drawing/2014/main" id="{0DCAAB18-B208-415A-95E4-D8A1B6055456}"/>
            </a:ext>
          </a:extLst>
        </xdr:cNvPr>
        <xdr:cNvCxnSpPr/>
      </xdr:nvCxnSpPr>
      <xdr:spPr>
        <a:xfrm rot="5400000">
          <a:off x="534230" y="1925709"/>
          <a:ext cx="314740" cy="256757"/>
        </a:xfrm>
        <a:prstGeom prst="bentConnector3">
          <a:avLst>
            <a:gd name="adj1" fmla="val 150"/>
          </a:avLst>
        </a:prstGeom>
        <a:ln>
          <a:solidFill>
            <a:schemeClr val="tx2">
              <a:lumMod val="60000"/>
              <a:lumOff val="4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661210</xdr:colOff>
      <xdr:row>6</xdr:row>
      <xdr:rowOff>58435</xdr:rowOff>
    </xdr:from>
    <xdr:ext cx="2515369" cy="264560"/>
    <xdr:sp macro="" textlink="$A$3">
      <xdr:nvSpPr>
        <xdr:cNvPr id="22" name="CaixaDeTexto 21">
          <a:extLst>
            <a:ext uri="{FF2B5EF4-FFF2-40B4-BE49-F238E27FC236}">
              <a16:creationId xmlns:a16="http://schemas.microsoft.com/office/drawing/2014/main" id="{3C0D806A-931C-4D78-B124-B41C28ED9FD9}"/>
            </a:ext>
          </a:extLst>
        </xdr:cNvPr>
        <xdr:cNvSpPr txBox="1"/>
      </xdr:nvSpPr>
      <xdr:spPr>
        <a:xfrm>
          <a:off x="756460" y="2401585"/>
          <a:ext cx="251536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16026300-C5BF-4C94-BE0A-201F16AE53B2}" type="TxLink">
            <a:rPr lang="en-US" sz="1100" b="0" i="0" u="none" strike="noStrike">
              <a:solidFill>
                <a:schemeClr val="tx2">
                  <a:lumMod val="60000"/>
                  <a:lumOff val="40000"/>
                </a:schemeClr>
              </a:solidFill>
              <a:latin typeface="Calibri"/>
              <a:cs typeface="Calibri"/>
            </a:rPr>
            <a:pPr/>
            <a:t>Insira os dados da LISTA1 nesta tabela</a:t>
          </a:fld>
          <a:endParaRPr lang="pt-BR" sz="11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twoCellAnchor>
    <xdr:from>
      <xdr:col>5</xdr:col>
      <xdr:colOff>446943</xdr:colOff>
      <xdr:row>6</xdr:row>
      <xdr:rowOff>190681</xdr:rowOff>
    </xdr:from>
    <xdr:to>
      <xdr:col>5</xdr:col>
      <xdr:colOff>703700</xdr:colOff>
      <xdr:row>6</xdr:row>
      <xdr:rowOff>505421</xdr:rowOff>
    </xdr:to>
    <xdr:cxnSp macro="">
      <xdr:nvCxnSpPr>
        <xdr:cNvPr id="23" name="Conector: Angulado 22">
          <a:extLst>
            <a:ext uri="{FF2B5EF4-FFF2-40B4-BE49-F238E27FC236}">
              <a16:creationId xmlns:a16="http://schemas.microsoft.com/office/drawing/2014/main" id="{65A30770-6992-4560-942B-B72AC9369CBC}"/>
            </a:ext>
          </a:extLst>
        </xdr:cNvPr>
        <xdr:cNvCxnSpPr/>
      </xdr:nvCxnSpPr>
      <xdr:spPr>
        <a:xfrm rot="5400000">
          <a:off x="5781260" y="1926845"/>
          <a:ext cx="314740" cy="256757"/>
        </a:xfrm>
        <a:prstGeom prst="bentConnector3">
          <a:avLst>
            <a:gd name="adj1" fmla="val 150"/>
          </a:avLst>
        </a:prstGeom>
        <a:ln>
          <a:solidFill>
            <a:schemeClr val="tx2">
              <a:lumMod val="60000"/>
              <a:lumOff val="4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644323</xdr:colOff>
      <xdr:row>6</xdr:row>
      <xdr:rowOff>58615</xdr:rowOff>
    </xdr:from>
    <xdr:ext cx="2510495" cy="264560"/>
    <xdr:sp macro="" textlink="$A$6">
      <xdr:nvSpPr>
        <xdr:cNvPr id="24" name="CaixaDeTexto 23">
          <a:extLst>
            <a:ext uri="{FF2B5EF4-FFF2-40B4-BE49-F238E27FC236}">
              <a16:creationId xmlns:a16="http://schemas.microsoft.com/office/drawing/2014/main" id="{1F16856C-95F5-44AC-87DF-3ABE0850EEA2}"/>
            </a:ext>
          </a:extLst>
        </xdr:cNvPr>
        <xdr:cNvSpPr txBox="1"/>
      </xdr:nvSpPr>
      <xdr:spPr>
        <a:xfrm>
          <a:off x="6111673" y="2401765"/>
          <a:ext cx="251049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ED0766-F262-45A5-A340-014A923295BC}" type="TxLink">
            <a:rPr lang="en-US" sz="1100" b="0" i="0" u="none" strike="noStrike">
              <a:solidFill>
                <a:schemeClr val="tx2">
                  <a:lumMod val="60000"/>
                  <a:lumOff val="40000"/>
                </a:schemeClr>
              </a:solidFill>
              <a:latin typeface="Calibri"/>
              <a:cs typeface="Calibri"/>
            </a:rPr>
            <a:pPr/>
            <a:t>Insira os dados da LISTA2 nesta tabela</a:t>
          </a:fld>
          <a:endParaRPr lang="pt-BR" sz="11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twoCellAnchor editAs="oneCell">
    <xdr:from>
      <xdr:col>1</xdr:col>
      <xdr:colOff>1</xdr:colOff>
      <xdr:row>6</xdr:row>
      <xdr:rowOff>272144</xdr:rowOff>
    </xdr:from>
    <xdr:to>
      <xdr:col>1</xdr:col>
      <xdr:colOff>258536</xdr:colOff>
      <xdr:row>6</xdr:row>
      <xdr:rowOff>529943</xdr:rowOff>
    </xdr:to>
    <xdr:pic macro="[0]!eraseTable1">
      <xdr:nvPicPr>
        <xdr:cNvPr id="27" name="Imagem 26" descr="Resultado de imagem para erase icon">
          <a:extLst>
            <a:ext uri="{FF2B5EF4-FFF2-40B4-BE49-F238E27FC236}">
              <a16:creationId xmlns:a16="http://schemas.microsoft.com/office/drawing/2014/main" id="{12A4784B-CE14-4D8C-9B3A-63D8A38B13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prstClr val="black"/>
            <a:srgbClr val="FF0000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1" y="1973037"/>
          <a:ext cx="258535" cy="257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57151</xdr:colOff>
      <xdr:row>6</xdr:row>
      <xdr:rowOff>272144</xdr:rowOff>
    </xdr:from>
    <xdr:to>
      <xdr:col>5</xdr:col>
      <xdr:colOff>315686</xdr:colOff>
      <xdr:row>6</xdr:row>
      <xdr:rowOff>529943</xdr:rowOff>
    </xdr:to>
    <xdr:pic macro="[0]!eraseTable2">
      <xdr:nvPicPr>
        <xdr:cNvPr id="28" name="Imagem 27" descr="Resultado de imagem para erase icon">
          <a:extLst>
            <a:ext uri="{FF2B5EF4-FFF2-40B4-BE49-F238E27FC236}">
              <a16:creationId xmlns:a16="http://schemas.microsoft.com/office/drawing/2014/main" id="{B7ADD92B-94B1-4A84-821E-DC0C57B43D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prstClr val="black"/>
            <a:srgbClr val="FF0000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31972" y="1973037"/>
          <a:ext cx="258535" cy="257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54429</xdr:colOff>
      <xdr:row>0</xdr:row>
      <xdr:rowOff>285750</xdr:rowOff>
    </xdr:from>
    <xdr:to>
      <xdr:col>2</xdr:col>
      <xdr:colOff>538844</xdr:colOff>
      <xdr:row>0</xdr:row>
      <xdr:rowOff>989241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E8DA4BE5-3758-465E-A714-902222D074AE}"/>
            </a:ext>
          </a:extLst>
        </xdr:cNvPr>
        <xdr:cNvGrpSpPr/>
      </xdr:nvGrpSpPr>
      <xdr:grpSpPr>
        <a:xfrm>
          <a:off x="54429" y="285750"/>
          <a:ext cx="1532165" cy="703491"/>
          <a:chOff x="0" y="0"/>
          <a:chExt cx="1524001" cy="703491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C095A991-C31B-4E2B-964C-AD1A7F32F98B}"/>
              </a:ext>
            </a:extLst>
          </xdr:cNvPr>
          <xdr:cNvSpPr/>
        </xdr:nvSpPr>
        <xdr:spPr>
          <a:xfrm>
            <a:off x="85726" y="427264"/>
            <a:ext cx="1057275" cy="200025"/>
          </a:xfrm>
          <a:prstGeom prst="rect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BR" sz="1100"/>
          </a:p>
        </xdr:txBody>
      </xdr:sp>
      <xdr:sp macro="" textlink="">
        <xdr:nvSpPr>
          <xdr:cNvPr id="18" name="CaixaDeTexto 4">
            <a:extLst>
              <a:ext uri="{FF2B5EF4-FFF2-40B4-BE49-F238E27FC236}">
                <a16:creationId xmlns:a16="http://schemas.microsoft.com/office/drawing/2014/main" id="{15536926-E398-4AD9-8E2E-EA3448D9920C}"/>
              </a:ext>
            </a:extLst>
          </xdr:cNvPr>
          <xdr:cNvSpPr txBox="1"/>
        </xdr:nvSpPr>
        <xdr:spPr>
          <a:xfrm>
            <a:off x="0" y="0"/>
            <a:ext cx="1524001" cy="5933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sp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BR" sz="3200" b="0" kern="100" spc="160" baseline="0">
                <a:solidFill>
                  <a:schemeClr val="tx2">
                    <a:lumMod val="60000"/>
                    <a:lumOff val="40000"/>
                  </a:schemeClr>
                </a:solidFill>
              </a:rPr>
              <a:t>TALES</a:t>
            </a:r>
          </a:p>
        </xdr:txBody>
      </xdr:sp>
      <xdr:sp macro="" textlink="">
        <xdr:nvSpPr>
          <xdr:cNvPr id="19" name="CaixaDeTexto 5">
            <a:extLst>
              <a:ext uri="{FF2B5EF4-FFF2-40B4-BE49-F238E27FC236}">
                <a16:creationId xmlns:a16="http://schemas.microsoft.com/office/drawing/2014/main" id="{9517FBCB-1A16-4833-BDDF-E8C9E23B2897}"/>
              </a:ext>
            </a:extLst>
          </xdr:cNvPr>
          <xdr:cNvSpPr txBox="1"/>
        </xdr:nvSpPr>
        <xdr:spPr>
          <a:xfrm>
            <a:off x="23133" y="292555"/>
            <a:ext cx="1241943" cy="41093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pt-BR" sz="2400" b="0">
                <a:solidFill>
                  <a:schemeClr val="bg1"/>
                </a:solidFill>
              </a:rPr>
              <a:t>ARAUJO</a:t>
            </a:r>
          </a:p>
        </xdr:txBody>
      </xdr:sp>
    </xdr:grpSp>
    <xdr:clientData/>
  </xdr:twoCellAnchor>
  <xdr:twoCellAnchor editAs="absolute">
    <xdr:from>
      <xdr:col>5</xdr:col>
      <xdr:colOff>734787</xdr:colOff>
      <xdr:row>2</xdr:row>
      <xdr:rowOff>68037</xdr:rowOff>
    </xdr:from>
    <xdr:to>
      <xdr:col>6</xdr:col>
      <xdr:colOff>1700895</xdr:colOff>
      <xdr:row>4</xdr:row>
      <xdr:rowOff>108858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A1649A-7F6F-4524-9D81-23EC1388FDB7}"/>
            </a:ext>
          </a:extLst>
        </xdr:cNvPr>
        <xdr:cNvGrpSpPr/>
      </xdr:nvGrpSpPr>
      <xdr:grpSpPr>
        <a:xfrm>
          <a:off x="6202137" y="1649187"/>
          <a:ext cx="1918608" cy="421821"/>
          <a:chOff x="8137072" y="1306286"/>
          <a:chExt cx="1918608" cy="421821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324F120E-724A-4840-BF7A-1E518FD062CB}"/>
              </a:ext>
            </a:extLst>
          </xdr:cNvPr>
          <xdr:cNvSpPr/>
        </xdr:nvSpPr>
        <xdr:spPr>
          <a:xfrm>
            <a:off x="8137072" y="1306286"/>
            <a:ext cx="1918608" cy="421821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>
            <a:solidFill>
              <a:schemeClr val="bg1">
                <a:lumMod val="85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76000" rtlCol="0" anchor="t"/>
          <a:lstStyle/>
          <a:p>
            <a:pPr algn="l"/>
            <a:r>
              <a:rPr lang="pt-BR" sz="1400" b="1">
                <a:solidFill>
                  <a:schemeClr val="tx2">
                    <a:lumMod val="75000"/>
                  </a:schemeClr>
                </a:solidFill>
              </a:rPr>
              <a:t>COMPARAÇÃO</a:t>
            </a:r>
          </a:p>
        </xdr:txBody>
      </xdr:sp>
      <xdr:pic>
        <xdr:nvPicPr>
          <xdr:cNvPr id="26" name="Imagem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098600D-6F8A-4B2B-B50A-6DA5D74E42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8327570" y="1360719"/>
            <a:ext cx="324623" cy="326567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1809751</xdr:colOff>
      <xdr:row>2</xdr:row>
      <xdr:rowOff>68037</xdr:rowOff>
    </xdr:from>
    <xdr:to>
      <xdr:col>8</xdr:col>
      <xdr:colOff>13609</xdr:colOff>
      <xdr:row>4</xdr:row>
      <xdr:rowOff>108858</xdr:rowOff>
    </xdr:to>
    <xdr:grpSp>
      <xdr:nvGrpSpPr>
        <xdr:cNvPr id="4" name="Agrupar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CAC73-95FB-419D-A4D7-71A9E3439410}"/>
            </a:ext>
          </a:extLst>
        </xdr:cNvPr>
        <xdr:cNvGrpSpPr/>
      </xdr:nvGrpSpPr>
      <xdr:grpSpPr>
        <a:xfrm>
          <a:off x="8229601" y="1649187"/>
          <a:ext cx="1909083" cy="421821"/>
          <a:chOff x="11266714" y="1700893"/>
          <a:chExt cx="1918608" cy="421821"/>
        </a:xfrm>
      </xdr:grpSpPr>
      <xdr:sp macro="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BD72DB1E-971B-423D-9F20-7FC565724BFF}"/>
              </a:ext>
            </a:extLst>
          </xdr:cNvPr>
          <xdr:cNvSpPr/>
        </xdr:nvSpPr>
        <xdr:spPr>
          <a:xfrm>
            <a:off x="11266714" y="1700893"/>
            <a:ext cx="1918608" cy="421821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>
            <a:solidFill>
              <a:schemeClr val="bg1">
                <a:lumMod val="85000"/>
              </a:schemeClr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76000" rtlCol="0" anchor="t"/>
          <a:lstStyle/>
          <a:p>
            <a:pPr algn="l"/>
            <a:r>
              <a:rPr lang="pt-BR" sz="1400" b="1">
                <a:solidFill>
                  <a:schemeClr val="tx2">
                    <a:lumMod val="75000"/>
                  </a:schemeClr>
                </a:solidFill>
              </a:rPr>
              <a:t>FILTRO</a:t>
            </a:r>
          </a:p>
        </xdr:txBody>
      </xdr:sp>
      <xdr:pic>
        <xdr:nvPicPr>
          <xdr:cNvPr id="25" name="Imagem 24" descr="Resultado de imagem para filter icon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E70190A8-D393-4D75-BEA1-70B5C5FF1EF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416392" y="1755322"/>
            <a:ext cx="324000" cy="324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7</xdr:col>
      <xdr:colOff>122464</xdr:colOff>
      <xdr:row>0</xdr:row>
      <xdr:rowOff>81643</xdr:rowOff>
    </xdr:from>
    <xdr:to>
      <xdr:col>7</xdr:col>
      <xdr:colOff>503463</xdr:colOff>
      <xdr:row>0</xdr:row>
      <xdr:rowOff>461647</xdr:rowOff>
    </xdr:to>
    <xdr:pic macro="[0]!showForm">
      <xdr:nvPicPr>
        <xdr:cNvPr id="33" name="Imagem 32" descr="Resultado de imagem para question mark icon">
          <a:extLst>
            <a:ext uri="{FF2B5EF4-FFF2-40B4-BE49-F238E27FC236}">
              <a16:creationId xmlns:a16="http://schemas.microsoft.com/office/drawing/2014/main" id="{941C5339-CB46-478E-BDB1-E3F505167B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1071" y="81643"/>
          <a:ext cx="380999" cy="3800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</xdr:col>
      <xdr:colOff>476251</xdr:colOff>
      <xdr:row>0</xdr:row>
      <xdr:rowOff>136071</xdr:rowOff>
    </xdr:from>
    <xdr:ext cx="2443939" cy="264560"/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EEDA0EFF-6EA8-43A0-9613-2AE466A3700F}"/>
            </a:ext>
          </a:extLst>
        </xdr:cNvPr>
        <xdr:cNvSpPr txBox="1"/>
      </xdr:nvSpPr>
      <xdr:spPr>
        <a:xfrm>
          <a:off x="10014858" y="136071"/>
          <a:ext cx="2443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tx2">
                  <a:lumMod val="60000"/>
                  <a:lumOff val="40000"/>
                </a:schemeClr>
              </a:solidFill>
            </a:rPr>
            <a:t>&lt;&lt; Informações sobre o funcionamento</a:t>
          </a:r>
        </a:p>
      </xdr:txBody>
    </xdr:sp>
    <xdr:clientData/>
  </xdr:oneCellAnchor>
  <xdr:oneCellAnchor>
    <xdr:from>
      <xdr:col>2</xdr:col>
      <xdr:colOff>1592036</xdr:colOff>
      <xdr:row>0</xdr:row>
      <xdr:rowOff>326572</xdr:rowOff>
    </xdr:from>
    <xdr:ext cx="5061194" cy="655885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49669801-20D1-44EA-A2B8-9DC488AE8CDA}"/>
            </a:ext>
          </a:extLst>
        </xdr:cNvPr>
        <xdr:cNvSpPr txBox="1"/>
      </xdr:nvSpPr>
      <xdr:spPr>
        <a:xfrm>
          <a:off x="2639786" y="326572"/>
          <a:ext cx="5061194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3600" b="1">
              <a:solidFill>
                <a:schemeClr val="tx2">
                  <a:lumMod val="75000"/>
                </a:schemeClr>
              </a:solidFill>
            </a:rPr>
            <a:t>COMPARADOR DE LISTAS</a:t>
          </a:r>
        </a:p>
      </xdr:txBody>
    </xdr:sp>
    <xdr:clientData/>
  </xdr:oneCellAnchor>
  <xdr:oneCellAnchor>
    <xdr:from>
      <xdr:col>3</xdr:col>
      <xdr:colOff>328347</xdr:colOff>
      <xdr:row>6</xdr:row>
      <xdr:rowOff>252619</xdr:rowOff>
    </xdr:from>
    <xdr:ext cx="1154611" cy="264560"/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1720A540-E67E-4E01-9396-E55984B1489D}"/>
            </a:ext>
          </a:extLst>
        </xdr:cNvPr>
        <xdr:cNvSpPr txBox="1"/>
      </xdr:nvSpPr>
      <xdr:spPr>
        <a:xfrm>
          <a:off x="4478526" y="2593048"/>
          <a:ext cx="115461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tx2">
                  <a:lumMod val="60000"/>
                  <a:lumOff val="40000"/>
                </a:schemeClr>
              </a:solidFill>
            </a:rPr>
            <a:t>Apagar</a:t>
          </a:r>
          <a:r>
            <a:rPr lang="pt-BR" sz="1100" baseline="0">
              <a:solidFill>
                <a:schemeClr val="tx2">
                  <a:lumMod val="60000"/>
                  <a:lumOff val="40000"/>
                </a:schemeClr>
              </a:solidFill>
            </a:rPr>
            <a:t> tabela &gt;&gt;</a:t>
          </a:r>
          <a:endParaRPr lang="pt-BR" sz="11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57149</xdr:colOff>
      <xdr:row>0</xdr:row>
      <xdr:rowOff>66673</xdr:rowOff>
    </xdr:from>
    <xdr:to>
      <xdr:col>10</xdr:col>
      <xdr:colOff>0</xdr:colOff>
      <xdr:row>1</xdr:row>
      <xdr:rowOff>19798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C58529B3-9985-432C-AECB-EEFD9BC9A7A4}"/>
            </a:ext>
          </a:extLst>
        </xdr:cNvPr>
        <xdr:cNvGrpSpPr/>
      </xdr:nvGrpSpPr>
      <xdr:grpSpPr>
        <a:xfrm>
          <a:off x="3419474" y="66673"/>
          <a:ext cx="6343651" cy="248400"/>
          <a:chOff x="2666999" y="7086598"/>
          <a:chExt cx="6343651" cy="248400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4F0F506E-398D-45D8-B922-4B825ACE3C65}"/>
              </a:ext>
            </a:extLst>
          </xdr:cNvPr>
          <xdr:cNvSpPr/>
        </xdr:nvSpPr>
        <xdr:spPr>
          <a:xfrm>
            <a:off x="2666999" y="7086598"/>
            <a:ext cx="1533600" cy="2484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>
                <a:solidFill>
                  <a:schemeClr val="accent6">
                    <a:lumMod val="75000"/>
                  </a:schemeClr>
                </a:solidFill>
              </a:rPr>
              <a:t>Mesma</a:t>
            </a:r>
            <a:r>
              <a:rPr lang="pt-BR" sz="1100" baseline="0">
                <a:solidFill>
                  <a:schemeClr val="accent6">
                    <a:lumMod val="75000"/>
                  </a:schemeClr>
                </a:solidFill>
              </a:rPr>
              <a:t> QTD</a:t>
            </a:r>
            <a:endParaRPr lang="pt-BR" sz="1100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6744D07D-B1F4-47F9-9822-40C660262925}"/>
              </a:ext>
            </a:extLst>
          </xdr:cNvPr>
          <xdr:cNvSpPr/>
        </xdr:nvSpPr>
        <xdr:spPr>
          <a:xfrm>
            <a:off x="4270399" y="7086598"/>
            <a:ext cx="1533600" cy="248400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>
                <a:solidFill>
                  <a:schemeClr val="accent4">
                    <a:lumMod val="75000"/>
                  </a:schemeClr>
                </a:solidFill>
              </a:rPr>
              <a:t>&gt; QTD que a outra lista</a:t>
            </a:r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AF2EC6EC-B734-4405-91AE-CC9C96048F0B}"/>
              </a:ext>
            </a:extLst>
          </xdr:cNvPr>
          <xdr:cNvSpPr/>
        </xdr:nvSpPr>
        <xdr:spPr>
          <a:xfrm>
            <a:off x="5873799" y="7086598"/>
            <a:ext cx="1533525" cy="248400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>
                <a:solidFill>
                  <a:srgbClr val="C00000"/>
                </a:solidFill>
              </a:rPr>
              <a:t>&lt; QTD que a outra lista</a:t>
            </a: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BF71CB91-22DC-42DC-8DE3-29D80A9A79BF}"/>
              </a:ext>
            </a:extLst>
          </xdr:cNvPr>
          <xdr:cNvSpPr/>
        </xdr:nvSpPr>
        <xdr:spPr>
          <a:xfrm>
            <a:off x="7477125" y="7086598"/>
            <a:ext cx="1533525" cy="2484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>
                <a:solidFill>
                  <a:schemeClr val="accent1">
                    <a:lumMod val="75000"/>
                  </a:schemeClr>
                </a:solidFill>
              </a:rPr>
              <a:t>Item único</a:t>
            </a:r>
          </a:p>
        </xdr:txBody>
      </xdr:sp>
    </xdr:grpSp>
    <xdr:clientData/>
  </xdr:twoCellAnchor>
  <xdr:twoCellAnchor editAs="oneCell">
    <xdr:from>
      <xdr:col>0</xdr:col>
      <xdr:colOff>19050</xdr:colOff>
      <xdr:row>0</xdr:row>
      <xdr:rowOff>28575</xdr:rowOff>
    </xdr:from>
    <xdr:to>
      <xdr:col>0</xdr:col>
      <xdr:colOff>276225</xdr:colOff>
      <xdr:row>0</xdr:row>
      <xdr:rowOff>285750</xdr:rowOff>
    </xdr:to>
    <xdr:pic>
      <xdr:nvPicPr>
        <xdr:cNvPr id="8" name="Imagem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CA6BF1-EAA9-4DC5-80F7-FB9F9600F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28575"/>
          <a:ext cx="257175" cy="257175"/>
        </a:xfrm>
        <a:prstGeom prst="rect">
          <a:avLst/>
        </a:prstGeom>
      </xdr:spPr>
    </xdr:pic>
    <xdr:clientData/>
  </xdr:twoCellAnchor>
  <xdr:twoCellAnchor editAs="oneCell">
    <xdr:from>
      <xdr:col>0</xdr:col>
      <xdr:colOff>333374</xdr:colOff>
      <xdr:row>0</xdr:row>
      <xdr:rowOff>28575</xdr:rowOff>
    </xdr:from>
    <xdr:to>
      <xdr:col>0</xdr:col>
      <xdr:colOff>581025</xdr:colOff>
      <xdr:row>0</xdr:row>
      <xdr:rowOff>276226</xdr:rowOff>
    </xdr:to>
    <xdr:pic>
      <xdr:nvPicPr>
        <xdr:cNvPr id="10" name="Imagem 9" descr="Resultado de imagem para filter ico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48D19B-69D9-49EA-8234-6DD919687A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4" y="28575"/>
          <a:ext cx="247651" cy="2476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2514600</xdr:colOff>
      <xdr:row>0</xdr:row>
      <xdr:rowOff>66675</xdr:rowOff>
    </xdr:from>
    <xdr:to>
      <xdr:col>8</xdr:col>
      <xdr:colOff>314326</xdr:colOff>
      <xdr:row>0</xdr:row>
      <xdr:rowOff>315075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9E785B35-CB78-405F-B121-03EA2E9450F6}"/>
            </a:ext>
          </a:extLst>
        </xdr:cNvPr>
        <xdr:cNvGrpSpPr/>
      </xdr:nvGrpSpPr>
      <xdr:grpSpPr>
        <a:xfrm>
          <a:off x="3448050" y="66675"/>
          <a:ext cx="6343651" cy="248400"/>
          <a:chOff x="2666999" y="7086598"/>
          <a:chExt cx="6343651" cy="248400"/>
        </a:xfrm>
      </xdr:grpSpPr>
      <xdr:sp macro="[0]!filterSa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2B6B6152-8DEF-44AD-8151-99680806D1AC}"/>
              </a:ext>
            </a:extLst>
          </xdr:cNvPr>
          <xdr:cNvSpPr/>
        </xdr:nvSpPr>
        <xdr:spPr>
          <a:xfrm>
            <a:off x="2666999" y="7086598"/>
            <a:ext cx="1533600" cy="248400"/>
          </a:xfrm>
          <a:prstGeom prst="roundRect">
            <a:avLst>
              <a:gd name="adj" fmla="val 50000"/>
            </a:avLst>
          </a:prstGeom>
          <a:solidFill>
            <a:schemeClr val="tx2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>
                <a:solidFill>
                  <a:schemeClr val="bg2">
                    <a:lumMod val="50000"/>
                  </a:schemeClr>
                </a:solidFill>
              </a:rPr>
              <a:t>Mesma</a:t>
            </a:r>
            <a:r>
              <a:rPr lang="pt-BR" sz="1100" b="0" baseline="0">
                <a:solidFill>
                  <a:schemeClr val="bg2">
                    <a:lumMod val="50000"/>
                  </a:schemeClr>
                </a:solidFill>
              </a:rPr>
              <a:t> QTD</a:t>
            </a:r>
            <a:endParaRPr lang="pt-BR" sz="1100" b="0">
              <a:solidFill>
                <a:schemeClr val="bg2">
                  <a:lumMod val="50000"/>
                </a:schemeClr>
              </a:solidFill>
            </a:endParaRPr>
          </a:p>
        </xdr:txBody>
      </xdr:sp>
      <xdr:sp macro="[0]!filterBigger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B0F7A846-F371-4897-BF19-DB03CCCF3BD3}"/>
              </a:ext>
            </a:extLst>
          </xdr:cNvPr>
          <xdr:cNvSpPr/>
        </xdr:nvSpPr>
        <xdr:spPr>
          <a:xfrm>
            <a:off x="4270399" y="7086598"/>
            <a:ext cx="1533600" cy="248400"/>
          </a:xfrm>
          <a:prstGeom prst="roundRect">
            <a:avLst>
              <a:gd name="adj" fmla="val 50000"/>
            </a:avLst>
          </a:prstGeom>
          <a:solidFill>
            <a:schemeClr val="tx2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solidFill>
                  <a:schemeClr val="bg2">
                    <a:lumMod val="50000"/>
                  </a:schemeClr>
                </a:solidFill>
              </a:rPr>
              <a:t>&gt; QTD que a outra lista</a:t>
            </a:r>
          </a:p>
        </xdr:txBody>
      </xdr:sp>
      <xdr:sp macro="[0]!filterSmaller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44F4103B-6131-4688-9C61-422FCA768F64}"/>
              </a:ext>
            </a:extLst>
          </xdr:cNvPr>
          <xdr:cNvSpPr/>
        </xdr:nvSpPr>
        <xdr:spPr>
          <a:xfrm>
            <a:off x="5873799" y="7086598"/>
            <a:ext cx="1533525" cy="248400"/>
          </a:xfrm>
          <a:prstGeom prst="roundRect">
            <a:avLst>
              <a:gd name="adj" fmla="val 50000"/>
            </a:avLst>
          </a:prstGeom>
          <a:solidFill>
            <a:schemeClr val="tx2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solidFill>
                  <a:schemeClr val="bg2">
                    <a:lumMod val="50000"/>
                  </a:schemeClr>
                </a:solidFill>
              </a:rPr>
              <a:t>&lt; QTD que a outra lista</a:t>
            </a:r>
          </a:p>
        </xdr:txBody>
      </xdr:sp>
      <xdr:sp macro="[0]!filterUnique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1EDD365B-6CD4-4ACC-BB9C-C4722017A1AB}"/>
              </a:ext>
            </a:extLst>
          </xdr:cNvPr>
          <xdr:cNvSpPr/>
        </xdr:nvSpPr>
        <xdr:spPr>
          <a:xfrm>
            <a:off x="7477125" y="7086598"/>
            <a:ext cx="1533525" cy="248400"/>
          </a:xfrm>
          <a:prstGeom prst="roundRect">
            <a:avLst>
              <a:gd name="adj" fmla="val 50000"/>
            </a:avLst>
          </a:prstGeom>
          <a:solidFill>
            <a:schemeClr val="accent4">
              <a:lumMod val="7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solidFill>
                  <a:schemeClr val="bg1">
                    <a:lumMod val="100000"/>
                  </a:schemeClr>
                </a:solidFill>
              </a:rPr>
              <a:t>Item único</a:t>
            </a:r>
          </a:p>
        </xdr:txBody>
      </xdr:sp>
    </xdr:grpSp>
    <xdr:clientData/>
  </xdr:twoCellAnchor>
  <xdr:oneCellAnchor>
    <xdr:from>
      <xdr:col>1</xdr:col>
      <xdr:colOff>133350</xdr:colOff>
      <xdr:row>0</xdr:row>
      <xdr:rowOff>66675</xdr:rowOff>
    </xdr:from>
    <xdr:ext cx="2400272" cy="264560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14AD694E-60A4-46D6-869B-029C0B57E29F}"/>
            </a:ext>
          </a:extLst>
        </xdr:cNvPr>
        <xdr:cNvSpPr txBox="1"/>
      </xdr:nvSpPr>
      <xdr:spPr>
        <a:xfrm>
          <a:off x="1066800" y="66675"/>
          <a:ext cx="240027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tx2">
                  <a:lumMod val="60000"/>
                  <a:lumOff val="40000"/>
                </a:schemeClr>
              </a:solidFill>
            </a:rPr>
            <a:t>CLIQUE NOS BOTÕES</a:t>
          </a:r>
          <a:r>
            <a:rPr lang="pt-BR" sz="1100" baseline="0">
              <a:solidFill>
                <a:schemeClr val="tx2">
                  <a:lumMod val="60000"/>
                  <a:lumOff val="40000"/>
                </a:schemeClr>
              </a:solidFill>
            </a:rPr>
            <a:t> PARA FILTRAR &gt;&gt;</a:t>
          </a:r>
          <a:endParaRPr lang="pt-BR" sz="11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twoCellAnchor editAs="oneCell">
    <xdr:from>
      <xdr:col>0</xdr:col>
      <xdr:colOff>38100</xdr:colOff>
      <xdr:row>0</xdr:row>
      <xdr:rowOff>47625</xdr:rowOff>
    </xdr:from>
    <xdr:to>
      <xdr:col>0</xdr:col>
      <xdr:colOff>295275</xdr:colOff>
      <xdr:row>0</xdr:row>
      <xdr:rowOff>304800</xdr:rowOff>
    </xdr:to>
    <xdr:pic>
      <xdr:nvPicPr>
        <xdr:cNvPr id="13" name="Imagem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ACF8E8-BE14-4873-BB35-88CAD7382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7625"/>
          <a:ext cx="257175" cy="2571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381001</xdr:colOff>
      <xdr:row>0</xdr:row>
      <xdr:rowOff>57151</xdr:rowOff>
    </xdr:from>
    <xdr:to>
      <xdr:col>0</xdr:col>
      <xdr:colOff>627177</xdr:colOff>
      <xdr:row>0</xdr:row>
      <xdr:rowOff>304801</xdr:rowOff>
    </xdr:to>
    <xdr:pic>
      <xdr:nvPicPr>
        <xdr:cNvPr id="17" name="Imagem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E5AA4DA-FD3F-4F30-87C5-5EFACF4E7A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1" y="57151"/>
          <a:ext cx="246176" cy="2476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Lista1" displayName="Lista1" ref="B8:D9" insertRow="1" totalsRowShown="0" headerRowDxfId="18">
  <autoFilter ref="B8:D9"/>
  <tableColumns count="3">
    <tableColumn id="1" name="Código" dataDxfId="17"/>
    <tableColumn id="2" name="Descrição" dataDxfId="16"/>
    <tableColumn id="3" name="Qtd" dataDxfId="15"/>
  </tableColumns>
  <tableStyleInfo name="TableStyleLight1 2" showFirstColumn="0" showLastColumn="0" showRowStripes="1" showColumnStripes="0"/>
</table>
</file>

<file path=xl/tables/table2.xml><?xml version="1.0" encoding="utf-8"?>
<table xmlns="http://schemas.openxmlformats.org/spreadsheetml/2006/main" id="2" name="Lista2" displayName="Lista2" ref="F8:H9" insertRow="1" totalsRowShown="0" headerRowDxfId="14" dataDxfId="13">
  <autoFilter ref="F8:H9"/>
  <tableColumns count="3">
    <tableColumn id="1" name="Código" dataDxfId="12"/>
    <tableColumn id="2" name="Descrição" dataDxfId="11"/>
    <tableColumn id="3" name="Qtd" dataDxfId="10"/>
  </tableColumns>
  <tableStyleInfo name="TableStyleLight1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H9"/>
  <sheetViews>
    <sheetView showGridLines="0" tabSelected="1" zoomScaleNormal="100" workbookViewId="0">
      <selection activeCell="B7" sqref="B7"/>
    </sheetView>
  </sheetViews>
  <sheetFormatPr defaultRowHeight="15" x14ac:dyDescent="0.25"/>
  <cols>
    <col min="1" max="1" width="1.42578125" customWidth="1"/>
    <col min="2" max="2" width="14.28515625" customWidth="1"/>
    <col min="3" max="3" width="46.42578125" customWidth="1"/>
    <col min="4" max="4" width="9.140625" style="1"/>
    <col min="5" max="5" width="10.7109375" customWidth="1"/>
    <col min="6" max="6" width="14.28515625" customWidth="1"/>
    <col min="7" max="7" width="46.42578125" customWidth="1"/>
    <col min="8" max="8" width="9.140625" style="1"/>
  </cols>
  <sheetData>
    <row r="1" spans="1:8" ht="109.5" customHeight="1" x14ac:dyDescent="0.25">
      <c r="B1" s="9"/>
    </row>
    <row r="2" spans="1:8" x14ac:dyDescent="0.25">
      <c r="A2" s="5"/>
      <c r="B2" s="6" t="s">
        <v>7</v>
      </c>
    </row>
    <row r="3" spans="1:8" x14ac:dyDescent="0.25">
      <c r="A3" s="17" t="str">
        <f>"Insira os dados da "&amp;B3&amp;" nesta tabela"</f>
        <v>Insira os dados da LISTA1 nesta tabela</v>
      </c>
      <c r="B3" s="21" t="s">
        <v>6</v>
      </c>
      <c r="C3" s="21"/>
      <c r="D3" s="11"/>
      <c r="E3" s="7"/>
    </row>
    <row r="4" spans="1:8" x14ac:dyDescent="0.25">
      <c r="B4" s="8"/>
      <c r="C4" s="8"/>
      <c r="D4" s="11"/>
      <c r="E4" s="7"/>
    </row>
    <row r="5" spans="1:8" x14ac:dyDescent="0.25">
      <c r="B5" s="6" t="s">
        <v>8</v>
      </c>
      <c r="C5" s="8"/>
      <c r="D5" s="11"/>
      <c r="E5" s="7"/>
    </row>
    <row r="6" spans="1:8" x14ac:dyDescent="0.25">
      <c r="A6" s="17" t="str">
        <f>"Insira os dados da "&amp;B6&amp;" nesta tabela"</f>
        <v>Insira os dados da LISTA2 nesta tabela</v>
      </c>
      <c r="B6" s="21" t="s">
        <v>9</v>
      </c>
      <c r="C6" s="21"/>
      <c r="D6" s="11"/>
      <c r="E6" s="7"/>
    </row>
    <row r="7" spans="1:8" ht="43.5" customHeight="1" x14ac:dyDescent="0.25"/>
    <row r="8" spans="1:8" x14ac:dyDescent="0.25">
      <c r="B8" s="4" t="s">
        <v>0</v>
      </c>
      <c r="C8" s="4" t="s">
        <v>1</v>
      </c>
      <c r="D8" s="4" t="s">
        <v>3</v>
      </c>
      <c r="F8" s="10" t="s">
        <v>0</v>
      </c>
      <c r="G8" s="10" t="s">
        <v>1</v>
      </c>
      <c r="H8" s="10" t="s">
        <v>3</v>
      </c>
    </row>
    <row r="9" spans="1:8" x14ac:dyDescent="0.25">
      <c r="B9" s="27"/>
      <c r="C9" s="27"/>
      <c r="D9" s="26"/>
      <c r="F9" s="24"/>
      <c r="G9" s="24"/>
      <c r="H9" s="25"/>
    </row>
  </sheetData>
  <mergeCells count="2">
    <mergeCell ref="B3:C3"/>
    <mergeCell ref="B6:C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O200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2" max="2" width="41.28515625" customWidth="1"/>
    <col min="3" max="4" width="9.140625" style="1"/>
    <col min="5" max="5" width="4.85546875" hidden="1" customWidth="1"/>
    <col min="7" max="7" width="9.140625" customWidth="1"/>
    <col min="8" max="8" width="41.140625" customWidth="1"/>
    <col min="9" max="10" width="9.140625" style="1"/>
    <col min="11" max="11" width="3.5703125" hidden="1" customWidth="1"/>
  </cols>
  <sheetData>
    <row r="1" spans="1:15" ht="23.25" x14ac:dyDescent="0.35">
      <c r="A1" s="2"/>
    </row>
    <row r="2" spans="1:15" ht="7.5" customHeight="1" x14ac:dyDescent="0.25"/>
    <row r="3" spans="1:15" ht="15.75" x14ac:dyDescent="0.25">
      <c r="A3" s="22" t="str">
        <f>Inicio!B3</f>
        <v>LISTA1</v>
      </c>
      <c r="B3" s="22"/>
      <c r="C3" s="22"/>
      <c r="D3" s="22"/>
      <c r="E3" s="22"/>
      <c r="F3" s="12"/>
      <c r="G3" s="22" t="str">
        <f>Inicio!B6</f>
        <v>LISTA2</v>
      </c>
      <c r="H3" s="22"/>
      <c r="I3" s="22"/>
      <c r="J3" s="22"/>
      <c r="K3" s="22"/>
      <c r="O3" s="18"/>
    </row>
    <row r="4" spans="1:15" x14ac:dyDescent="0.25">
      <c r="A4" s="13" t="s">
        <v>0</v>
      </c>
      <c r="B4" s="13" t="s">
        <v>1</v>
      </c>
      <c r="C4" s="13" t="s">
        <v>3</v>
      </c>
      <c r="D4" s="13" t="s">
        <v>4</v>
      </c>
      <c r="E4" s="13" t="s">
        <v>2</v>
      </c>
      <c r="F4" s="13"/>
      <c r="G4" s="13" t="s">
        <v>0</v>
      </c>
      <c r="H4" s="13" t="s">
        <v>1</v>
      </c>
      <c r="I4" s="13" t="s">
        <v>3</v>
      </c>
      <c r="J4" s="13" t="s">
        <v>5</v>
      </c>
      <c r="K4" s="5"/>
    </row>
    <row r="5" spans="1:15" ht="24.75" hidden="1" customHeight="1" x14ac:dyDescent="0.25">
      <c r="A5" s="13" t="e">
        <f t="array" ref="A5">SUM(IF(FREQUENCY(IF(Lista1[Código]&lt;&gt;"",MATCH("~"&amp;Lista1[Código]&amp;"",Lista1[Código]&amp;"",0)),ROW(Lista1[Código])-ROW(Inicio!$A$9)+1),1))</f>
        <v>#VALUE!</v>
      </c>
      <c r="B5" s="13"/>
      <c r="C5" s="13"/>
      <c r="D5" s="13"/>
      <c r="E5" s="13"/>
      <c r="F5" s="13"/>
      <c r="G5" s="13" t="e">
        <f t="array" ref="G5">SUM(IF(FREQUENCY(IF(Lista2[Código]&lt;&gt;"",MATCH("~"&amp;Lista2[Código]&amp;"",Lista2[Código]&amp;"",0)),ROW(Lista2[Código])-ROW(Inicio!$A$9)+1),1))</f>
        <v>#VALUE!</v>
      </c>
      <c r="H5" s="13"/>
      <c r="I5" s="13"/>
      <c r="J5" s="13"/>
      <c r="K5" s="5"/>
    </row>
    <row r="6" spans="1:15" ht="24.75" hidden="1" customHeight="1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5"/>
    </row>
    <row r="7" spans="1:15" s="19" customFormat="1" ht="17.25" customHeight="1" x14ac:dyDescent="0.25">
      <c r="A7" s="19" t="str">
        <f t="array" ref="A7">IFERROR(IF(ROWS($A$5:A5)&lt;=$A$5,INDEX(Lista1[Código],SMALL(IF(FREQUENCY(IF(Lista1[Código]&lt;&gt;"",
    MATCH("~"&amp;Lista1[Código]&amp;"",Lista1[Código]&amp;"",0)),ROW(Lista1[Código])-ROW(Inicio!$A$9)+1),ROW(Lista1[Código])-ROW(Inicio!$A$9)+1),
      ROWS($A$5:A5))),""),"")</f>
        <v/>
      </c>
      <c r="B7" s="19" t="str">
        <f>IFERROR(VLOOKUP(A7,Lista1[],2,FALSE),"")</f>
        <v/>
      </c>
      <c r="C7" s="1" t="str">
        <f>IF(A7&lt;&gt;"",SUMIF(Lista1[Código],A7,Lista1[Qtd]),"")</f>
        <v/>
      </c>
      <c r="D7" s="1" t="str">
        <f t="shared" ref="D7:D38" si="0">IF(A7="","",IFERROR(INDEX($G$7:$I$200,MATCH(A7,$G$7:$G$200,0),3),0))</f>
        <v/>
      </c>
      <c r="E7" s="19" t="str">
        <f>IF(C7=""," ",IF(D7=0,"u",IF((C7-D7)=0,"i",IF((C7-D7)&gt;0,"ma","me"))))</f>
        <v xml:space="preserve"> </v>
      </c>
      <c r="G7" s="19" t="str">
        <f t="array" ref="G7">IFERROR(IF(ROWS($G$5:G5)&lt;=$G$5,INDEX(Lista2[Código],SMALL(IF(FREQUENCY(IF(Lista2[Código]&lt;&gt;"",
    MATCH("~"&amp;Lista2[Código]&amp;"",Lista2[Código]&amp;"",0)),ROW(Lista2[Código])-ROW(Inicio!$A$9)+1),ROW(Lista2[Código])-ROW(Inicio!$A$9)+1),
      ROWS($G$5:G5))),""),"")</f>
        <v/>
      </c>
      <c r="H7" s="19" t="str">
        <f>IFERROR(VLOOKUP(G7,Lista2[],2,FALSE),"")</f>
        <v/>
      </c>
      <c r="I7" s="1" t="str">
        <f>IF(G7&lt;&gt;"",SUMIF(Lista2[Código],G7,Lista2[Qtd]),"")</f>
        <v/>
      </c>
      <c r="J7" s="1" t="str">
        <f>IF(G7="","",IFERROR(INDEX($A$7:$C$200,MATCH(G7,$A$7:$A$200,0),3),0))</f>
        <v/>
      </c>
      <c r="K7" s="19" t="str">
        <f>IF(I7=""," ",IF(J7=0,"u",IF((I7-J7)=0,"i",IF((I7-J7)&gt;0,"ma","me"))))</f>
        <v xml:space="preserve"> </v>
      </c>
      <c r="M7" s="20"/>
    </row>
    <row r="8" spans="1:15" s="19" customFormat="1" ht="15" customHeight="1" x14ac:dyDescent="0.25">
      <c r="A8" s="19" t="str">
        <f t="array" ref="A8">IFERROR(IF(ROWS($A$5:A6)&lt;=$A$5,INDEX(Lista1[Código],SMALL(IF(FREQUENCY(IF(Lista1[Código]&lt;&gt;"",
    MATCH("~"&amp;Lista1[Código]&amp;"",Lista1[Código]&amp;"",0)),ROW(Lista1[Código])-ROW(Inicio!$A$9)+1),ROW(Lista1[Código])-ROW(Inicio!$A$9)+1),
      ROWS($A$5:A6))),""),"")</f>
        <v/>
      </c>
      <c r="B8" s="19" t="str">
        <f>IFERROR(VLOOKUP(A8,Lista1[],2,FALSE),"")</f>
        <v/>
      </c>
      <c r="C8" s="1" t="str">
        <f>IF(A8&lt;&gt;"",SUMIF(Lista1[Código],A8,Lista1[Qtd]),"")</f>
        <v/>
      </c>
      <c r="D8" s="1" t="str">
        <f t="shared" si="0"/>
        <v/>
      </c>
      <c r="E8" s="19" t="str">
        <f t="shared" ref="E8:E71" si="1">IF(C8=""," ",IF(D8=0,"u",IF((C8-D8)=0,"i",IF((C8-D8)&gt;0,"ma","me"))))</f>
        <v xml:space="preserve"> </v>
      </c>
      <c r="G8" s="19" t="str">
        <f t="array" ref="G8">IFERROR(IF(ROWS($G$5:G6)&lt;=$G$5,INDEX(Lista2[Código],SMALL(IF(FREQUENCY(IF(Lista2[Código]&lt;&gt;"",
    MATCH("~"&amp;Lista2[Código]&amp;"",Lista2[Código]&amp;"",0)),ROW(Lista2[Código])-ROW(Inicio!$A$9)+1),ROW(Lista2[Código])-ROW(Inicio!$A$9)+1),
      ROWS($G$5:G6))),""),"")</f>
        <v/>
      </c>
      <c r="H8" s="19" t="str">
        <f>IFERROR(VLOOKUP(G8,Lista2[],2,FALSE),"")</f>
        <v/>
      </c>
      <c r="I8" s="1" t="str">
        <f>IF(G8&lt;&gt;"",SUMIF(Lista2[Código],G8,Lista2[Qtd]),"")</f>
        <v/>
      </c>
      <c r="J8" s="1" t="str">
        <f t="shared" ref="J8:J71" si="2">IF(G8="","",IFERROR(INDEX($A$7:$C$200,MATCH(G8,$A$7:$A$200,0),3),0))</f>
        <v/>
      </c>
      <c r="K8" s="19" t="str">
        <f t="shared" ref="K8:K71" si="3">IF(I8=""," ",IF(J8=0,"u",IF((I8-J8)=0,"i",IF((I8-J8)&gt;0,"ma","me"))))</f>
        <v xml:space="preserve"> </v>
      </c>
      <c r="M8" s="20"/>
    </row>
    <row r="9" spans="1:15" s="19" customFormat="1" x14ac:dyDescent="0.25">
      <c r="A9" s="19" t="str">
        <f t="array" ref="A9">IFERROR(IF(ROWS($A$5:A7)&lt;=$A$5,INDEX(Lista1[Código],SMALL(IF(FREQUENCY(IF(Lista1[Código]&lt;&gt;"",
    MATCH("~"&amp;Lista1[Código]&amp;"",Lista1[Código]&amp;"",0)),ROW(Lista1[Código])-ROW(Inicio!$A$9)+1),ROW(Lista1[Código])-ROW(Inicio!$A$9)+1),
      ROWS($A$5:A7))),""),"")</f>
        <v/>
      </c>
      <c r="B9" s="19" t="str">
        <f>IFERROR(VLOOKUP(A9,Lista1[],2,FALSE),"")</f>
        <v/>
      </c>
      <c r="C9" s="1" t="str">
        <f>IF(A9&lt;&gt;"",SUMIF(Lista1[Código],A9,Lista1[Qtd]),"")</f>
        <v/>
      </c>
      <c r="D9" s="1" t="str">
        <f t="shared" si="0"/>
        <v/>
      </c>
      <c r="E9" s="19" t="str">
        <f t="shared" si="1"/>
        <v xml:space="preserve"> </v>
      </c>
      <c r="G9" s="19" t="str">
        <f t="array" ref="G9">IFERROR(IF(ROWS($G$5:G7)&lt;=$G$5,INDEX(Lista2[Código],SMALL(IF(FREQUENCY(IF(Lista2[Código]&lt;&gt;"",
    MATCH("~"&amp;Lista2[Código]&amp;"",Lista2[Código]&amp;"",0)),ROW(Lista2[Código])-ROW(Inicio!$A$9)+1),ROW(Lista2[Código])-ROW(Inicio!$A$9)+1),
      ROWS($G$5:G7))),""),"")</f>
        <v/>
      </c>
      <c r="H9" s="19" t="str">
        <f>IFERROR(VLOOKUP(G9,Lista2[],2,FALSE),"")</f>
        <v/>
      </c>
      <c r="I9" s="1" t="str">
        <f>IF(G9&lt;&gt;"",SUMIF(Lista2[Código],G9,Lista2[Qtd]),"")</f>
        <v/>
      </c>
      <c r="J9" s="1" t="str">
        <f t="shared" si="2"/>
        <v/>
      </c>
      <c r="K9" s="19" t="str">
        <f t="shared" si="3"/>
        <v xml:space="preserve"> </v>
      </c>
      <c r="M9" s="20"/>
    </row>
    <row r="10" spans="1:15" s="19" customFormat="1" x14ac:dyDescent="0.25">
      <c r="A10" s="19" t="str">
        <f t="array" ref="A10">IFERROR(IF(ROWS($A$5:A8)&lt;=$A$5,INDEX(Lista1[Código],SMALL(IF(FREQUENCY(IF(Lista1[Código]&lt;&gt;"",
    MATCH("~"&amp;Lista1[Código]&amp;"",Lista1[Código]&amp;"",0)),ROW(Lista1[Código])-ROW(Inicio!$A$9)+1),ROW(Lista1[Código])-ROW(Inicio!$A$9)+1),
      ROWS($A$5:A8))),""),"")</f>
        <v/>
      </c>
      <c r="B10" s="19" t="str">
        <f>IFERROR(VLOOKUP(A10,Lista1[],2,FALSE),"")</f>
        <v/>
      </c>
      <c r="C10" s="1" t="str">
        <f>IF(A10&lt;&gt;"",SUMIF(Lista1[Código],A10,Lista1[Qtd]),"")</f>
        <v/>
      </c>
      <c r="D10" s="1" t="str">
        <f t="shared" si="0"/>
        <v/>
      </c>
      <c r="E10" s="19" t="str">
        <f t="shared" si="1"/>
        <v xml:space="preserve"> </v>
      </c>
      <c r="G10" s="19" t="str">
        <f t="array" ref="G10">IFERROR(IF(ROWS($G$5:G8)&lt;=$G$5,INDEX(Lista2[Código],SMALL(IF(FREQUENCY(IF(Lista2[Código]&lt;&gt;"",
    MATCH("~"&amp;Lista2[Código]&amp;"",Lista2[Código]&amp;"",0)),ROW(Lista2[Código])-ROW(Inicio!$A$9)+1),ROW(Lista2[Código])-ROW(Inicio!$A$9)+1),
      ROWS($G$5:G8))),""),"")</f>
        <v/>
      </c>
      <c r="H10" s="19" t="str">
        <f>IFERROR(VLOOKUP(G10,Lista2[],2,FALSE),"")</f>
        <v/>
      </c>
      <c r="I10" s="1" t="str">
        <f>IF(G10&lt;&gt;"",SUMIF(Lista2[Código],G10,Lista2[Qtd]),"")</f>
        <v/>
      </c>
      <c r="J10" s="1" t="str">
        <f t="shared" si="2"/>
        <v/>
      </c>
      <c r="K10" s="19" t="str">
        <f t="shared" si="3"/>
        <v xml:space="preserve"> </v>
      </c>
      <c r="M10" s="20"/>
    </row>
    <row r="11" spans="1:15" s="19" customFormat="1" x14ac:dyDescent="0.25">
      <c r="A11" s="19" t="str">
        <f t="array" ref="A11">IFERROR(IF(ROWS($A$5:A9)&lt;=$A$5,INDEX(Lista1[Código],SMALL(IF(FREQUENCY(IF(Lista1[Código]&lt;&gt;"",
    MATCH("~"&amp;Lista1[Código]&amp;"",Lista1[Código]&amp;"",0)),ROW(Lista1[Código])-ROW(Inicio!$A$9)+1),ROW(Lista1[Código])-ROW(Inicio!$A$9)+1),
      ROWS($A$5:A9))),""),"")</f>
        <v/>
      </c>
      <c r="B11" s="19" t="str">
        <f>IFERROR(VLOOKUP(A11,Lista1[],2,FALSE),"")</f>
        <v/>
      </c>
      <c r="C11" s="1" t="str">
        <f>IF(A11&lt;&gt;"",SUMIF(Lista1[Código],A11,Lista1[Qtd]),"")</f>
        <v/>
      </c>
      <c r="D11" s="1" t="str">
        <f t="shared" si="0"/>
        <v/>
      </c>
      <c r="E11" s="19" t="str">
        <f t="shared" si="1"/>
        <v xml:space="preserve"> </v>
      </c>
      <c r="G11" s="19" t="str">
        <f t="array" ref="G11">IFERROR(IF(ROWS($G$5:G9)&lt;=$G$5,INDEX(Lista2[Código],SMALL(IF(FREQUENCY(IF(Lista2[Código]&lt;&gt;"",
    MATCH("~"&amp;Lista2[Código]&amp;"",Lista2[Código]&amp;"",0)),ROW(Lista2[Código])-ROW(Inicio!$A$9)+1),ROW(Lista2[Código])-ROW(Inicio!$A$9)+1),
      ROWS($G$5:G9))),""),"")</f>
        <v/>
      </c>
      <c r="H11" s="19" t="str">
        <f>IFERROR(VLOOKUP(G11,Lista2[],2,FALSE),"")</f>
        <v/>
      </c>
      <c r="I11" s="1" t="str">
        <f>IF(G11&lt;&gt;"",SUMIF(Lista2[Código],G11,Lista2[Qtd]),"")</f>
        <v/>
      </c>
      <c r="J11" s="1" t="str">
        <f t="shared" si="2"/>
        <v/>
      </c>
      <c r="K11" s="19" t="str">
        <f t="shared" si="3"/>
        <v xml:space="preserve"> </v>
      </c>
      <c r="M11" s="20"/>
    </row>
    <row r="12" spans="1:15" s="19" customFormat="1" x14ac:dyDescent="0.25">
      <c r="A12" s="19" t="str">
        <f t="array" ref="A12">IFERROR(IF(ROWS($A$5:A10)&lt;=$A$5,INDEX(Lista1[Código],SMALL(IF(FREQUENCY(IF(Lista1[Código]&lt;&gt;"",
    MATCH("~"&amp;Lista1[Código]&amp;"",Lista1[Código]&amp;"",0)),ROW(Lista1[Código])-ROW(Inicio!$A$9)+1),ROW(Lista1[Código])-ROW(Inicio!$A$9)+1),
      ROWS($A$5:A10))),""),"")</f>
        <v/>
      </c>
      <c r="B12" s="19" t="str">
        <f>IFERROR(VLOOKUP(A12,Lista1[],2,FALSE),"")</f>
        <v/>
      </c>
      <c r="C12" s="1" t="str">
        <f>IF(A12&lt;&gt;"",SUMIF(Lista1[Código],A12,Lista1[Qtd]),"")</f>
        <v/>
      </c>
      <c r="D12" s="1" t="str">
        <f t="shared" si="0"/>
        <v/>
      </c>
      <c r="E12" s="19" t="str">
        <f t="shared" si="1"/>
        <v xml:space="preserve"> </v>
      </c>
      <c r="G12" s="19" t="str">
        <f t="array" ref="G12">IFERROR(IF(ROWS($G$5:G10)&lt;=$G$5,INDEX(Lista2[Código],SMALL(IF(FREQUENCY(IF(Lista2[Código]&lt;&gt;"",
    MATCH("~"&amp;Lista2[Código]&amp;"",Lista2[Código]&amp;"",0)),ROW(Lista2[Código])-ROW(Inicio!$A$9)+1),ROW(Lista2[Código])-ROW(Inicio!$A$9)+1),
      ROWS($G$5:G10))),""),"")</f>
        <v/>
      </c>
      <c r="H12" s="19" t="str">
        <f>IFERROR(VLOOKUP(G12,Lista2[],2,FALSE),"")</f>
        <v/>
      </c>
      <c r="I12" s="1" t="str">
        <f>IF(G12&lt;&gt;"",SUMIF(Lista2[Código],G12,Lista2[Qtd]),"")</f>
        <v/>
      </c>
      <c r="J12" s="1" t="str">
        <f t="shared" si="2"/>
        <v/>
      </c>
      <c r="K12" s="19" t="str">
        <f t="shared" si="3"/>
        <v xml:space="preserve"> </v>
      </c>
      <c r="M12" s="20"/>
    </row>
    <row r="13" spans="1:15" s="19" customFormat="1" x14ac:dyDescent="0.25">
      <c r="A13" s="19" t="str">
        <f t="array" ref="A13">IFERROR(IF(ROWS($A$5:A11)&lt;=$A$5,INDEX(Lista1[Código],SMALL(IF(FREQUENCY(IF(Lista1[Código]&lt;&gt;"",
    MATCH("~"&amp;Lista1[Código]&amp;"",Lista1[Código]&amp;"",0)),ROW(Lista1[Código])-ROW(Inicio!$A$9)+1),ROW(Lista1[Código])-ROW(Inicio!$A$9)+1),
      ROWS($A$5:A11))),""),"")</f>
        <v/>
      </c>
      <c r="B13" s="19" t="str">
        <f>IFERROR(VLOOKUP(A13,Lista1[],2,FALSE),"")</f>
        <v/>
      </c>
      <c r="C13" s="1" t="str">
        <f>IF(A13&lt;&gt;"",SUMIF(Lista1[Código],A13,Lista1[Qtd]),"")</f>
        <v/>
      </c>
      <c r="D13" s="1" t="str">
        <f t="shared" si="0"/>
        <v/>
      </c>
      <c r="E13" s="19" t="str">
        <f t="shared" si="1"/>
        <v xml:space="preserve"> </v>
      </c>
      <c r="G13" s="19" t="str">
        <f t="array" ref="G13">IFERROR(IF(ROWS($G$5:G11)&lt;=$G$5,INDEX(Lista2[Código],SMALL(IF(FREQUENCY(IF(Lista2[Código]&lt;&gt;"",
    MATCH("~"&amp;Lista2[Código]&amp;"",Lista2[Código]&amp;"",0)),ROW(Lista2[Código])-ROW(Inicio!$A$9)+1),ROW(Lista2[Código])-ROW(Inicio!$A$9)+1),
      ROWS($G$5:G11))),""),"")</f>
        <v/>
      </c>
      <c r="H13" s="19" t="str">
        <f>IFERROR(VLOOKUP(G13,Lista2[],2,FALSE),"")</f>
        <v/>
      </c>
      <c r="I13" s="1" t="str">
        <f>IF(G13&lt;&gt;"",SUMIF(Lista2[Código],G13,Lista2[Qtd]),"")</f>
        <v/>
      </c>
      <c r="J13" s="1" t="str">
        <f t="shared" si="2"/>
        <v/>
      </c>
      <c r="K13" s="19" t="str">
        <f t="shared" si="3"/>
        <v xml:space="preserve"> </v>
      </c>
      <c r="M13" s="20"/>
    </row>
    <row r="14" spans="1:15" s="19" customFormat="1" x14ac:dyDescent="0.25">
      <c r="A14" s="19" t="str">
        <f t="array" ref="A14">IFERROR(IF(ROWS($A$5:A12)&lt;=$A$5,INDEX(Lista1[Código],SMALL(IF(FREQUENCY(IF(Lista1[Código]&lt;&gt;"",
    MATCH("~"&amp;Lista1[Código]&amp;"",Lista1[Código]&amp;"",0)),ROW(Lista1[Código])-ROW(Inicio!$A$9)+1),ROW(Lista1[Código])-ROW(Inicio!$A$9)+1),
      ROWS($A$5:A12))),""),"")</f>
        <v/>
      </c>
      <c r="B14" s="19" t="str">
        <f>IFERROR(VLOOKUP(A14,Lista1[],2,FALSE),"")</f>
        <v/>
      </c>
      <c r="C14" s="1" t="str">
        <f>IF(A14&lt;&gt;"",SUMIF(Lista1[Código],A14,Lista1[Qtd]),"")</f>
        <v/>
      </c>
      <c r="D14" s="1" t="str">
        <f t="shared" si="0"/>
        <v/>
      </c>
      <c r="E14" s="19" t="str">
        <f t="shared" si="1"/>
        <v xml:space="preserve"> </v>
      </c>
      <c r="G14" s="19" t="str">
        <f t="array" ref="G14">IFERROR(IF(ROWS($G$5:G12)&lt;=$G$5,INDEX(Lista2[Código],SMALL(IF(FREQUENCY(IF(Lista2[Código]&lt;&gt;"",
    MATCH("~"&amp;Lista2[Código]&amp;"",Lista2[Código]&amp;"",0)),ROW(Lista2[Código])-ROW(Inicio!$A$9)+1),ROW(Lista2[Código])-ROW(Inicio!$A$9)+1),
      ROWS($G$5:G12))),""),"")</f>
        <v/>
      </c>
      <c r="H14" s="19" t="str">
        <f>IFERROR(VLOOKUP(G14,Lista2[],2,FALSE),"")</f>
        <v/>
      </c>
      <c r="I14" s="1" t="str">
        <f>IF(G14&lt;&gt;"",SUMIF(Lista2[Código],G14,Lista2[Qtd]),"")</f>
        <v/>
      </c>
      <c r="J14" s="1" t="str">
        <f t="shared" si="2"/>
        <v/>
      </c>
      <c r="K14" s="19" t="str">
        <f t="shared" si="3"/>
        <v xml:space="preserve"> </v>
      </c>
      <c r="M14" s="20"/>
    </row>
    <row r="15" spans="1:15" s="19" customFormat="1" x14ac:dyDescent="0.25">
      <c r="A15" s="19" t="str">
        <f t="array" ref="A15">IFERROR(IF(ROWS($A$5:A13)&lt;=$A$5,INDEX(Lista1[Código],SMALL(IF(FREQUENCY(IF(Lista1[Código]&lt;&gt;"",
    MATCH("~"&amp;Lista1[Código]&amp;"",Lista1[Código]&amp;"",0)),ROW(Lista1[Código])-ROW(Inicio!$A$9)+1),ROW(Lista1[Código])-ROW(Inicio!$A$9)+1),
      ROWS($A$5:A13))),""),"")</f>
        <v/>
      </c>
      <c r="B15" s="19" t="str">
        <f>IFERROR(VLOOKUP(A15,Lista1[],2,FALSE),"")</f>
        <v/>
      </c>
      <c r="C15" s="1" t="str">
        <f>IF(A15&lt;&gt;"",SUMIF(Lista1[Código],A15,Lista1[Qtd]),"")</f>
        <v/>
      </c>
      <c r="D15" s="1" t="str">
        <f t="shared" si="0"/>
        <v/>
      </c>
      <c r="E15" s="19" t="str">
        <f t="shared" si="1"/>
        <v xml:space="preserve"> </v>
      </c>
      <c r="G15" s="19" t="str">
        <f t="array" ref="G15">IFERROR(IF(ROWS($G$5:G13)&lt;=$G$5,INDEX(Lista2[Código],SMALL(IF(FREQUENCY(IF(Lista2[Código]&lt;&gt;"",
    MATCH("~"&amp;Lista2[Código]&amp;"",Lista2[Código]&amp;"",0)),ROW(Lista2[Código])-ROW(Inicio!$A$9)+1),ROW(Lista2[Código])-ROW(Inicio!$A$9)+1),
      ROWS($G$5:G13))),""),"")</f>
        <v/>
      </c>
      <c r="H15" s="19" t="str">
        <f>IFERROR(VLOOKUP(G15,Lista2[],2,FALSE),"")</f>
        <v/>
      </c>
      <c r="I15" s="1" t="str">
        <f>IF(G15&lt;&gt;"",SUMIF(Lista2[Código],G15,Lista2[Qtd]),"")</f>
        <v/>
      </c>
      <c r="J15" s="1" t="str">
        <f t="shared" si="2"/>
        <v/>
      </c>
      <c r="K15" s="19" t="str">
        <f t="shared" si="3"/>
        <v xml:space="preserve"> </v>
      </c>
      <c r="M15" s="20"/>
    </row>
    <row r="16" spans="1:15" s="19" customFormat="1" x14ac:dyDescent="0.25">
      <c r="A16" s="19" t="str">
        <f t="array" ref="A16">IFERROR(IF(ROWS($A$5:A14)&lt;=$A$5,INDEX(Lista1[Código],SMALL(IF(FREQUENCY(IF(Lista1[Código]&lt;&gt;"",
    MATCH("~"&amp;Lista1[Código]&amp;"",Lista1[Código]&amp;"",0)),ROW(Lista1[Código])-ROW(Inicio!$A$9)+1),ROW(Lista1[Código])-ROW(Inicio!$A$9)+1),
      ROWS($A$5:A14))),""),"")</f>
        <v/>
      </c>
      <c r="B16" s="19" t="str">
        <f>IFERROR(VLOOKUP(A16,Lista1[],2,FALSE),"")</f>
        <v/>
      </c>
      <c r="C16" s="1" t="str">
        <f>IF(A16&lt;&gt;"",SUMIF(Lista1[Código],A16,Lista1[Qtd]),"")</f>
        <v/>
      </c>
      <c r="D16" s="1" t="str">
        <f t="shared" si="0"/>
        <v/>
      </c>
      <c r="E16" s="19" t="str">
        <f t="shared" si="1"/>
        <v xml:space="preserve"> </v>
      </c>
      <c r="G16" s="19" t="str">
        <f t="array" ref="G16">IFERROR(IF(ROWS($G$5:G14)&lt;=$G$5,INDEX(Lista2[Código],SMALL(IF(FREQUENCY(IF(Lista2[Código]&lt;&gt;"",
    MATCH("~"&amp;Lista2[Código]&amp;"",Lista2[Código]&amp;"",0)),ROW(Lista2[Código])-ROW(Inicio!$A$9)+1),ROW(Lista2[Código])-ROW(Inicio!$A$9)+1),
      ROWS($G$5:G14))),""),"")</f>
        <v/>
      </c>
      <c r="H16" s="19" t="str">
        <f>IFERROR(VLOOKUP(G16,Lista2[],2,FALSE),"")</f>
        <v/>
      </c>
      <c r="I16" s="1" t="str">
        <f>IF(G16&lt;&gt;"",SUMIF(Lista2[Código],G16,Lista2[Qtd]),"")</f>
        <v/>
      </c>
      <c r="J16" s="1" t="str">
        <f t="shared" si="2"/>
        <v/>
      </c>
      <c r="K16" s="19" t="str">
        <f t="shared" si="3"/>
        <v xml:space="preserve"> </v>
      </c>
      <c r="M16" s="20"/>
    </row>
    <row r="17" spans="1:13" s="19" customFormat="1" x14ac:dyDescent="0.25">
      <c r="A17" s="19" t="str">
        <f t="array" ref="A17">IFERROR(IF(ROWS($A$5:A15)&lt;=$A$5,INDEX(Lista1[Código],SMALL(IF(FREQUENCY(IF(Lista1[Código]&lt;&gt;"",
    MATCH("~"&amp;Lista1[Código]&amp;"",Lista1[Código]&amp;"",0)),ROW(Lista1[Código])-ROW(Inicio!$A$9)+1),ROW(Lista1[Código])-ROW(Inicio!$A$9)+1),
      ROWS($A$5:A15))),""),"")</f>
        <v/>
      </c>
      <c r="B17" s="19" t="str">
        <f>IFERROR(VLOOKUP(A17,Lista1[],2,FALSE),"")</f>
        <v/>
      </c>
      <c r="C17" s="1" t="str">
        <f>IF(A17&lt;&gt;"",SUMIF(Lista1[Código],A17,Lista1[Qtd]),"")</f>
        <v/>
      </c>
      <c r="D17" s="1" t="str">
        <f t="shared" si="0"/>
        <v/>
      </c>
      <c r="E17" s="19" t="str">
        <f t="shared" si="1"/>
        <v xml:space="preserve"> </v>
      </c>
      <c r="G17" s="19" t="str">
        <f t="array" ref="G17">IFERROR(IF(ROWS($G$5:G15)&lt;=$G$5,INDEX(Lista2[Código],SMALL(IF(FREQUENCY(IF(Lista2[Código]&lt;&gt;"",
    MATCH("~"&amp;Lista2[Código]&amp;"",Lista2[Código]&amp;"",0)),ROW(Lista2[Código])-ROW(Inicio!$A$9)+1),ROW(Lista2[Código])-ROW(Inicio!$A$9)+1),
      ROWS($G$5:G15))),""),"")</f>
        <v/>
      </c>
      <c r="H17" s="19" t="str">
        <f>IFERROR(VLOOKUP(G17,Lista2[],2,FALSE),"")</f>
        <v/>
      </c>
      <c r="I17" s="1" t="str">
        <f>IF(G17&lt;&gt;"",SUMIF(Lista2[Código],G17,Lista2[Qtd]),"")</f>
        <v/>
      </c>
      <c r="J17" s="1" t="str">
        <f t="shared" si="2"/>
        <v/>
      </c>
      <c r="K17" s="19" t="str">
        <f t="shared" si="3"/>
        <v xml:space="preserve"> </v>
      </c>
      <c r="M17" s="20"/>
    </row>
    <row r="18" spans="1:13" s="19" customFormat="1" x14ac:dyDescent="0.25">
      <c r="A18" s="19" t="str">
        <f t="array" ref="A18">IFERROR(IF(ROWS($A$5:A16)&lt;=$A$5,INDEX(Lista1[Código],SMALL(IF(FREQUENCY(IF(Lista1[Código]&lt;&gt;"",
    MATCH("~"&amp;Lista1[Código]&amp;"",Lista1[Código]&amp;"",0)),ROW(Lista1[Código])-ROW(Inicio!$A$9)+1),ROW(Lista1[Código])-ROW(Inicio!$A$9)+1),
      ROWS($A$5:A16))),""),"")</f>
        <v/>
      </c>
      <c r="B18" s="19" t="str">
        <f>IFERROR(VLOOKUP(A18,Lista1[],2,FALSE),"")</f>
        <v/>
      </c>
      <c r="C18" s="1" t="str">
        <f>IF(A18&lt;&gt;"",SUMIF(Lista1[Código],A18,Lista1[Qtd]),"")</f>
        <v/>
      </c>
      <c r="D18" s="1" t="str">
        <f t="shared" si="0"/>
        <v/>
      </c>
      <c r="E18" s="19" t="str">
        <f t="shared" si="1"/>
        <v xml:space="preserve"> </v>
      </c>
      <c r="G18" s="19" t="str">
        <f t="array" ref="G18">IFERROR(IF(ROWS($G$5:G16)&lt;=$G$5,INDEX(Lista2[Código],SMALL(IF(FREQUENCY(IF(Lista2[Código]&lt;&gt;"",
    MATCH("~"&amp;Lista2[Código]&amp;"",Lista2[Código]&amp;"",0)),ROW(Lista2[Código])-ROW(Inicio!$A$9)+1),ROW(Lista2[Código])-ROW(Inicio!$A$9)+1),
      ROWS($G$5:G16))),""),"")</f>
        <v/>
      </c>
      <c r="H18" s="19" t="str">
        <f>IFERROR(VLOOKUP(G18,Lista2[],2,FALSE),"")</f>
        <v/>
      </c>
      <c r="I18" s="1" t="str">
        <f>IF(G18&lt;&gt;"",SUMIF(Lista2[Código],G18,Lista2[Qtd]),"")</f>
        <v/>
      </c>
      <c r="J18" s="1" t="str">
        <f t="shared" si="2"/>
        <v/>
      </c>
      <c r="K18" s="19" t="str">
        <f t="shared" si="3"/>
        <v xml:space="preserve"> </v>
      </c>
      <c r="M18" s="20"/>
    </row>
    <row r="19" spans="1:13" s="19" customFormat="1" x14ac:dyDescent="0.25">
      <c r="A19" s="19" t="str">
        <f t="array" ref="A19">IFERROR(IF(ROWS($A$5:A17)&lt;=$A$5,INDEX(Lista1[Código],SMALL(IF(FREQUENCY(IF(Lista1[Código]&lt;&gt;"",
    MATCH("~"&amp;Lista1[Código]&amp;"",Lista1[Código]&amp;"",0)),ROW(Lista1[Código])-ROW(Inicio!$A$9)+1),ROW(Lista1[Código])-ROW(Inicio!$A$9)+1),
      ROWS($A$5:A17))),""),"")</f>
        <v/>
      </c>
      <c r="B19" s="19" t="str">
        <f>IFERROR(VLOOKUP(A19,Lista1[],2,FALSE),"")</f>
        <v/>
      </c>
      <c r="C19" s="1" t="str">
        <f>IF(A19&lt;&gt;"",SUMIF(Lista1[Código],A19,Lista1[Qtd]),"")</f>
        <v/>
      </c>
      <c r="D19" s="1" t="str">
        <f t="shared" si="0"/>
        <v/>
      </c>
      <c r="E19" s="19" t="str">
        <f t="shared" si="1"/>
        <v xml:space="preserve"> </v>
      </c>
      <c r="G19" s="19" t="str">
        <f t="array" ref="G19">IFERROR(IF(ROWS($G$5:G17)&lt;=$G$5,INDEX(Lista2[Código],SMALL(IF(FREQUENCY(IF(Lista2[Código]&lt;&gt;"",
    MATCH("~"&amp;Lista2[Código]&amp;"",Lista2[Código]&amp;"",0)),ROW(Lista2[Código])-ROW(Inicio!$A$9)+1),ROW(Lista2[Código])-ROW(Inicio!$A$9)+1),
      ROWS($G$5:G17))),""),"")</f>
        <v/>
      </c>
      <c r="H19" s="19" t="str">
        <f>IFERROR(VLOOKUP(G19,Lista2[],2,FALSE),"")</f>
        <v/>
      </c>
      <c r="I19" s="1" t="str">
        <f>IF(G19&lt;&gt;"",SUMIF(Lista2[Código],G19,Lista2[Qtd]),"")</f>
        <v/>
      </c>
      <c r="J19" s="1" t="str">
        <f t="shared" si="2"/>
        <v/>
      </c>
      <c r="K19" s="19" t="str">
        <f t="shared" si="3"/>
        <v xml:space="preserve"> </v>
      </c>
      <c r="M19" s="20"/>
    </row>
    <row r="20" spans="1:13" s="19" customFormat="1" x14ac:dyDescent="0.25">
      <c r="A20" s="19" t="str">
        <f t="array" ref="A20">IFERROR(IF(ROWS($A$5:A18)&lt;=$A$5,INDEX(Lista1[Código],SMALL(IF(FREQUENCY(IF(Lista1[Código]&lt;&gt;"",
    MATCH("~"&amp;Lista1[Código]&amp;"",Lista1[Código]&amp;"",0)),ROW(Lista1[Código])-ROW(Inicio!$A$9)+1),ROW(Lista1[Código])-ROW(Inicio!$A$9)+1),
      ROWS($A$5:A18))),""),"")</f>
        <v/>
      </c>
      <c r="B20" s="19" t="str">
        <f>IFERROR(VLOOKUP(A20,Lista1[],2,FALSE),"")</f>
        <v/>
      </c>
      <c r="C20" s="1" t="str">
        <f>IF(A20&lt;&gt;"",SUMIF(Lista1[Código],A20,Lista1[Qtd]),"")</f>
        <v/>
      </c>
      <c r="D20" s="1" t="str">
        <f t="shared" si="0"/>
        <v/>
      </c>
      <c r="E20" s="19" t="str">
        <f t="shared" si="1"/>
        <v xml:space="preserve"> </v>
      </c>
      <c r="G20" s="19" t="str">
        <f t="array" ref="G20">IFERROR(IF(ROWS($G$5:G18)&lt;=$G$5,INDEX(Lista2[Código],SMALL(IF(FREQUENCY(IF(Lista2[Código]&lt;&gt;"",
    MATCH("~"&amp;Lista2[Código]&amp;"",Lista2[Código]&amp;"",0)),ROW(Lista2[Código])-ROW(Inicio!$A$9)+1),ROW(Lista2[Código])-ROW(Inicio!$A$9)+1),
      ROWS($G$5:G18))),""),"")</f>
        <v/>
      </c>
      <c r="H20" s="19" t="str">
        <f>IFERROR(VLOOKUP(G20,Lista2[],2,FALSE),"")</f>
        <v/>
      </c>
      <c r="I20" s="1" t="str">
        <f>IF(G20&lt;&gt;"",SUMIF(Lista2[Código],G20,Lista2[Qtd]),"")</f>
        <v/>
      </c>
      <c r="J20" s="1" t="str">
        <f t="shared" si="2"/>
        <v/>
      </c>
      <c r="K20" s="19" t="str">
        <f t="shared" si="3"/>
        <v xml:space="preserve"> </v>
      </c>
      <c r="M20" s="20"/>
    </row>
    <row r="21" spans="1:13" s="19" customFormat="1" x14ac:dyDescent="0.25">
      <c r="A21" s="19" t="str">
        <f t="array" ref="A21">IFERROR(IF(ROWS($A$5:A19)&lt;=$A$5,INDEX(Lista1[Código],SMALL(IF(FREQUENCY(IF(Lista1[Código]&lt;&gt;"",
    MATCH("~"&amp;Lista1[Código]&amp;"",Lista1[Código]&amp;"",0)),ROW(Lista1[Código])-ROW(Inicio!$A$9)+1),ROW(Lista1[Código])-ROW(Inicio!$A$9)+1),
      ROWS($A$5:A19))),""),"")</f>
        <v/>
      </c>
      <c r="B21" s="19" t="str">
        <f>IFERROR(VLOOKUP(A21,Lista1[],2,FALSE),"")</f>
        <v/>
      </c>
      <c r="C21" s="1" t="str">
        <f>IF(A21&lt;&gt;"",SUMIF(Lista1[Código],A21,Lista1[Qtd]),"")</f>
        <v/>
      </c>
      <c r="D21" s="1" t="str">
        <f t="shared" si="0"/>
        <v/>
      </c>
      <c r="E21" s="19" t="str">
        <f t="shared" si="1"/>
        <v xml:space="preserve"> </v>
      </c>
      <c r="G21" s="19" t="str">
        <f t="array" ref="G21">IFERROR(IF(ROWS($G$5:G19)&lt;=$G$5,INDEX(Lista2[Código],SMALL(IF(FREQUENCY(IF(Lista2[Código]&lt;&gt;"",
    MATCH("~"&amp;Lista2[Código]&amp;"",Lista2[Código]&amp;"",0)),ROW(Lista2[Código])-ROW(Inicio!$A$9)+1),ROW(Lista2[Código])-ROW(Inicio!$A$9)+1),
      ROWS($G$5:G19))),""),"")</f>
        <v/>
      </c>
      <c r="H21" s="19" t="str">
        <f>IFERROR(VLOOKUP(G21,Lista2[],2,FALSE),"")</f>
        <v/>
      </c>
      <c r="I21" s="1" t="str">
        <f>IF(G21&lt;&gt;"",SUMIF(Lista2[Código],G21,Lista2[Qtd]),"")</f>
        <v/>
      </c>
      <c r="J21" s="1" t="str">
        <f t="shared" si="2"/>
        <v/>
      </c>
      <c r="K21" s="19" t="str">
        <f t="shared" si="3"/>
        <v xml:space="preserve"> </v>
      </c>
      <c r="M21" s="20"/>
    </row>
    <row r="22" spans="1:13" s="19" customFormat="1" x14ac:dyDescent="0.25">
      <c r="A22" s="19" t="str">
        <f t="array" ref="A22">IFERROR(IF(ROWS($A$5:A20)&lt;=$A$5,INDEX(Lista1[Código],SMALL(IF(FREQUENCY(IF(Lista1[Código]&lt;&gt;"",
    MATCH("~"&amp;Lista1[Código]&amp;"",Lista1[Código]&amp;"",0)),ROW(Lista1[Código])-ROW(Inicio!$A$9)+1),ROW(Lista1[Código])-ROW(Inicio!$A$9)+1),
      ROWS($A$5:A20))),""),"")</f>
        <v/>
      </c>
      <c r="B22" s="19" t="str">
        <f>IFERROR(VLOOKUP(A22,Lista1[],2,FALSE),"")</f>
        <v/>
      </c>
      <c r="C22" s="1" t="str">
        <f>IF(A22&lt;&gt;"",SUMIF(Lista1[Código],A22,Lista1[Qtd]),"")</f>
        <v/>
      </c>
      <c r="D22" s="1" t="str">
        <f t="shared" si="0"/>
        <v/>
      </c>
      <c r="E22" s="19" t="str">
        <f t="shared" si="1"/>
        <v xml:space="preserve"> </v>
      </c>
      <c r="G22" s="19" t="str">
        <f t="array" ref="G22">IFERROR(IF(ROWS($G$5:G20)&lt;=$G$5,INDEX(Lista2[Código],SMALL(IF(FREQUENCY(IF(Lista2[Código]&lt;&gt;"",
    MATCH("~"&amp;Lista2[Código]&amp;"",Lista2[Código]&amp;"",0)),ROW(Lista2[Código])-ROW(Inicio!$A$9)+1),ROW(Lista2[Código])-ROW(Inicio!$A$9)+1),
      ROWS($G$5:G20))),""),"")</f>
        <v/>
      </c>
      <c r="H22" s="19" t="str">
        <f>IFERROR(VLOOKUP(G22,Lista2[],2,FALSE),"")</f>
        <v/>
      </c>
      <c r="I22" s="1" t="str">
        <f>IF(G22&lt;&gt;"",SUMIF(Lista2[Código],G22,Lista2[Qtd]),"")</f>
        <v/>
      </c>
      <c r="J22" s="1" t="str">
        <f t="shared" si="2"/>
        <v/>
      </c>
      <c r="K22" s="19" t="str">
        <f t="shared" si="3"/>
        <v xml:space="preserve"> </v>
      </c>
      <c r="M22" s="20"/>
    </row>
    <row r="23" spans="1:13" s="19" customFormat="1" x14ac:dyDescent="0.25">
      <c r="A23" s="19" t="str">
        <f t="array" ref="A23">IFERROR(IF(ROWS($A$5:A21)&lt;=$A$5,INDEX(Lista1[Código],SMALL(IF(FREQUENCY(IF(Lista1[Código]&lt;&gt;"",
    MATCH("~"&amp;Lista1[Código]&amp;"",Lista1[Código]&amp;"",0)),ROW(Lista1[Código])-ROW(Inicio!$A$9)+1),ROW(Lista1[Código])-ROW(Inicio!$A$9)+1),
      ROWS($A$5:A21))),""),"")</f>
        <v/>
      </c>
      <c r="B23" s="19" t="str">
        <f>IFERROR(VLOOKUP(A23,Lista1[],2,FALSE),"")</f>
        <v/>
      </c>
      <c r="C23" s="1" t="str">
        <f>IF(A23&lt;&gt;"",SUMIF(Lista1[Código],A23,Lista1[Qtd]),"")</f>
        <v/>
      </c>
      <c r="D23" s="1" t="str">
        <f t="shared" si="0"/>
        <v/>
      </c>
      <c r="E23" s="19" t="str">
        <f t="shared" si="1"/>
        <v xml:space="preserve"> </v>
      </c>
      <c r="G23" s="19" t="str">
        <f t="array" ref="G23">IFERROR(IF(ROWS($G$5:G21)&lt;=$G$5,INDEX(Lista2[Código],SMALL(IF(FREQUENCY(IF(Lista2[Código]&lt;&gt;"",
    MATCH("~"&amp;Lista2[Código]&amp;"",Lista2[Código]&amp;"",0)),ROW(Lista2[Código])-ROW(Inicio!$A$9)+1),ROW(Lista2[Código])-ROW(Inicio!$A$9)+1),
      ROWS($G$5:G21))),""),"")</f>
        <v/>
      </c>
      <c r="H23" s="19" t="str">
        <f>IFERROR(VLOOKUP(G23,Lista2[],2,FALSE),"")</f>
        <v/>
      </c>
      <c r="I23" s="1" t="str">
        <f>IF(G23&lt;&gt;"",SUMIF(Lista2[Código],G23,Lista2[Qtd]),"")</f>
        <v/>
      </c>
      <c r="J23" s="1" t="str">
        <f t="shared" si="2"/>
        <v/>
      </c>
      <c r="K23" s="19" t="str">
        <f t="shared" si="3"/>
        <v xml:space="preserve"> </v>
      </c>
      <c r="M23" s="20"/>
    </row>
    <row r="24" spans="1:13" s="19" customFormat="1" x14ac:dyDescent="0.25">
      <c r="A24" s="19" t="str">
        <f t="array" ref="A24">IFERROR(IF(ROWS($A$5:A22)&lt;=$A$5,INDEX(Lista1[Código],SMALL(IF(FREQUENCY(IF(Lista1[Código]&lt;&gt;"",
    MATCH("~"&amp;Lista1[Código]&amp;"",Lista1[Código]&amp;"",0)),ROW(Lista1[Código])-ROW(Inicio!$A$9)+1),ROW(Lista1[Código])-ROW(Inicio!$A$9)+1),
      ROWS($A$5:A22))),""),"")</f>
        <v/>
      </c>
      <c r="B24" s="19" t="str">
        <f>IFERROR(VLOOKUP(A24,Lista1[],2,FALSE),"")</f>
        <v/>
      </c>
      <c r="C24" s="1" t="str">
        <f>IF(A24&lt;&gt;"",SUMIF(Lista1[Código],A24,Lista1[Qtd]),"")</f>
        <v/>
      </c>
      <c r="D24" s="1" t="str">
        <f t="shared" si="0"/>
        <v/>
      </c>
      <c r="E24" s="19" t="str">
        <f t="shared" si="1"/>
        <v xml:space="preserve"> </v>
      </c>
      <c r="G24" s="19" t="str">
        <f t="array" ref="G24">IFERROR(IF(ROWS($G$5:G22)&lt;=$G$5,INDEX(Lista2[Código],SMALL(IF(FREQUENCY(IF(Lista2[Código]&lt;&gt;"",
    MATCH("~"&amp;Lista2[Código]&amp;"",Lista2[Código]&amp;"",0)),ROW(Lista2[Código])-ROW(Inicio!$A$9)+1),ROW(Lista2[Código])-ROW(Inicio!$A$9)+1),
      ROWS($G$5:G22))),""),"")</f>
        <v/>
      </c>
      <c r="H24" s="19" t="str">
        <f>IFERROR(VLOOKUP(G24,Lista2[],2,FALSE),"")</f>
        <v/>
      </c>
      <c r="I24" s="1" t="str">
        <f>IF(G24&lt;&gt;"",SUMIF(Lista2[Código],G24,Lista2[Qtd]),"")</f>
        <v/>
      </c>
      <c r="J24" s="1" t="str">
        <f t="shared" si="2"/>
        <v/>
      </c>
      <c r="K24" s="19" t="str">
        <f t="shared" si="3"/>
        <v xml:space="preserve"> </v>
      </c>
      <c r="M24" s="20"/>
    </row>
    <row r="25" spans="1:13" s="19" customFormat="1" x14ac:dyDescent="0.25">
      <c r="A25" s="19" t="str">
        <f t="array" ref="A25">IFERROR(IF(ROWS($A$5:A23)&lt;=$A$5,INDEX(Lista1[Código],SMALL(IF(FREQUENCY(IF(Lista1[Código]&lt;&gt;"",
    MATCH("~"&amp;Lista1[Código]&amp;"",Lista1[Código]&amp;"",0)),ROW(Lista1[Código])-ROW(Inicio!$A$9)+1),ROW(Lista1[Código])-ROW(Inicio!$A$9)+1),
      ROWS($A$5:A23))),""),"")</f>
        <v/>
      </c>
      <c r="B25" s="19" t="str">
        <f>IFERROR(VLOOKUP(A25,Lista1[],2,FALSE),"")</f>
        <v/>
      </c>
      <c r="C25" s="1" t="str">
        <f>IF(A25&lt;&gt;"",SUMIF(Lista1[Código],A25,Lista1[Qtd]),"")</f>
        <v/>
      </c>
      <c r="D25" s="1" t="str">
        <f t="shared" si="0"/>
        <v/>
      </c>
      <c r="E25" s="19" t="str">
        <f t="shared" si="1"/>
        <v xml:space="preserve"> </v>
      </c>
      <c r="G25" s="19" t="str">
        <f t="array" ref="G25">IFERROR(IF(ROWS($G$5:G23)&lt;=$G$5,INDEX(Lista2[Código],SMALL(IF(FREQUENCY(IF(Lista2[Código]&lt;&gt;"",
    MATCH("~"&amp;Lista2[Código]&amp;"",Lista2[Código]&amp;"",0)),ROW(Lista2[Código])-ROW(Inicio!$A$9)+1),ROW(Lista2[Código])-ROW(Inicio!$A$9)+1),
      ROWS($G$5:G23))),""),"")</f>
        <v/>
      </c>
      <c r="H25" s="19" t="str">
        <f>IFERROR(VLOOKUP(G25,Lista2[],2,FALSE),"")</f>
        <v/>
      </c>
      <c r="I25" s="1" t="str">
        <f>IF(G25&lt;&gt;"",SUMIF(Lista2[Código],G25,Lista2[Qtd]),"")</f>
        <v/>
      </c>
      <c r="J25" s="1" t="str">
        <f t="shared" si="2"/>
        <v/>
      </c>
      <c r="K25" s="19" t="str">
        <f t="shared" si="3"/>
        <v xml:space="preserve"> </v>
      </c>
    </row>
    <row r="26" spans="1:13" s="19" customFormat="1" x14ac:dyDescent="0.25">
      <c r="A26" s="19" t="str">
        <f t="array" ref="A26">IFERROR(IF(ROWS($A$5:A24)&lt;=$A$5,INDEX(Lista1[Código],SMALL(IF(FREQUENCY(IF(Lista1[Código]&lt;&gt;"",
    MATCH("~"&amp;Lista1[Código]&amp;"",Lista1[Código]&amp;"",0)),ROW(Lista1[Código])-ROW(Inicio!$A$9)+1),ROW(Lista1[Código])-ROW(Inicio!$A$9)+1),
      ROWS($A$5:A24))),""),"")</f>
        <v/>
      </c>
      <c r="B26" s="19" t="str">
        <f>IFERROR(VLOOKUP(A26,Lista1[],2,FALSE),"")</f>
        <v/>
      </c>
      <c r="C26" s="1" t="str">
        <f>IF(A26&lt;&gt;"",SUMIF(Lista1[Código],A26,Lista1[Qtd]),"")</f>
        <v/>
      </c>
      <c r="D26" s="1" t="str">
        <f t="shared" si="0"/>
        <v/>
      </c>
      <c r="E26" s="19" t="str">
        <f t="shared" si="1"/>
        <v xml:space="preserve"> </v>
      </c>
      <c r="G26" s="19" t="str">
        <f t="array" ref="G26">IFERROR(IF(ROWS($G$5:G24)&lt;=$G$5,INDEX(Lista2[Código],SMALL(IF(FREQUENCY(IF(Lista2[Código]&lt;&gt;"",
    MATCH("~"&amp;Lista2[Código]&amp;"",Lista2[Código]&amp;"",0)),ROW(Lista2[Código])-ROW(Inicio!$A$9)+1),ROW(Lista2[Código])-ROW(Inicio!$A$9)+1),
      ROWS($G$5:G24))),""),"")</f>
        <v/>
      </c>
      <c r="H26" s="19" t="str">
        <f>IFERROR(VLOOKUP(G26,Lista2[],2,FALSE),"")</f>
        <v/>
      </c>
      <c r="I26" s="1" t="str">
        <f>IF(G26&lt;&gt;"",SUMIF(Lista2[Código],G26,Lista2[Qtd]),"")</f>
        <v/>
      </c>
      <c r="J26" s="1" t="str">
        <f t="shared" si="2"/>
        <v/>
      </c>
      <c r="K26" s="19" t="str">
        <f t="shared" si="3"/>
        <v xml:space="preserve"> </v>
      </c>
    </row>
    <row r="27" spans="1:13" s="19" customFormat="1" x14ac:dyDescent="0.25">
      <c r="A27" s="19" t="str">
        <f t="array" ref="A27">IFERROR(IF(ROWS($A$5:A25)&lt;=$A$5,INDEX(Lista1[Código],SMALL(IF(FREQUENCY(IF(Lista1[Código]&lt;&gt;"",
    MATCH("~"&amp;Lista1[Código]&amp;"",Lista1[Código]&amp;"",0)),ROW(Lista1[Código])-ROW(Inicio!$A$9)+1),ROW(Lista1[Código])-ROW(Inicio!$A$9)+1),
      ROWS($A$5:A25))),""),"")</f>
        <v/>
      </c>
      <c r="B27" s="19" t="str">
        <f>IFERROR(VLOOKUP(A27,Lista1[],2,FALSE),"")</f>
        <v/>
      </c>
      <c r="C27" s="1" t="str">
        <f>IF(A27&lt;&gt;"",SUMIF(Lista1[Código],A27,Lista1[Qtd]),"")</f>
        <v/>
      </c>
      <c r="D27" s="1" t="str">
        <f t="shared" si="0"/>
        <v/>
      </c>
      <c r="E27" s="19" t="str">
        <f t="shared" si="1"/>
        <v xml:space="preserve"> </v>
      </c>
      <c r="G27" s="19" t="str">
        <f t="array" ref="G27">IFERROR(IF(ROWS($G$5:G25)&lt;=$G$5,INDEX(Lista2[Código],SMALL(IF(FREQUENCY(IF(Lista2[Código]&lt;&gt;"",
    MATCH("~"&amp;Lista2[Código]&amp;"",Lista2[Código]&amp;"",0)),ROW(Lista2[Código])-ROW(Inicio!$A$9)+1),ROW(Lista2[Código])-ROW(Inicio!$A$9)+1),
      ROWS($G$5:G25))),""),"")</f>
        <v/>
      </c>
      <c r="H27" s="19" t="str">
        <f>IFERROR(VLOOKUP(G27,Lista2[],2,FALSE),"")</f>
        <v/>
      </c>
      <c r="I27" s="1" t="str">
        <f>IF(G27&lt;&gt;"",SUMIF(Lista2[Código],G27,Lista2[Qtd]),"")</f>
        <v/>
      </c>
      <c r="J27" s="1" t="str">
        <f t="shared" si="2"/>
        <v/>
      </c>
      <c r="K27" s="19" t="str">
        <f t="shared" si="3"/>
        <v xml:space="preserve"> </v>
      </c>
    </row>
    <row r="28" spans="1:13" s="19" customFormat="1" x14ac:dyDescent="0.25">
      <c r="A28" s="19" t="str">
        <f t="array" ref="A28">IFERROR(IF(ROWS($A$5:A26)&lt;=$A$5,INDEX(Lista1[Código],SMALL(IF(FREQUENCY(IF(Lista1[Código]&lt;&gt;"",
    MATCH("~"&amp;Lista1[Código]&amp;"",Lista1[Código]&amp;"",0)),ROW(Lista1[Código])-ROW(Inicio!$A$9)+1),ROW(Lista1[Código])-ROW(Inicio!$A$9)+1),
      ROWS($A$5:A26))),""),"")</f>
        <v/>
      </c>
      <c r="B28" s="19" t="str">
        <f>IFERROR(VLOOKUP(A28,Lista1[],2,FALSE),"")</f>
        <v/>
      </c>
      <c r="C28" s="1" t="str">
        <f>IF(A28&lt;&gt;"",SUMIF(Lista1[Código],A28,Lista1[Qtd]),"")</f>
        <v/>
      </c>
      <c r="D28" s="1" t="str">
        <f t="shared" si="0"/>
        <v/>
      </c>
      <c r="E28" s="19" t="str">
        <f t="shared" si="1"/>
        <v xml:space="preserve"> </v>
      </c>
      <c r="G28" s="19" t="str">
        <f t="array" ref="G28">IFERROR(IF(ROWS($G$5:G26)&lt;=$G$5,INDEX(Lista2[Código],SMALL(IF(FREQUENCY(IF(Lista2[Código]&lt;&gt;"",
    MATCH("~"&amp;Lista2[Código]&amp;"",Lista2[Código]&amp;"",0)),ROW(Lista2[Código])-ROW(Inicio!$A$9)+1),ROW(Lista2[Código])-ROW(Inicio!$A$9)+1),
      ROWS($G$5:G26))),""),"")</f>
        <v/>
      </c>
      <c r="H28" s="19" t="str">
        <f>IFERROR(VLOOKUP(G28,Lista2[],2,FALSE),"")</f>
        <v/>
      </c>
      <c r="I28" s="1" t="str">
        <f>IF(G28&lt;&gt;"",SUMIF(Lista2[Código],G28,Lista2[Qtd]),"")</f>
        <v/>
      </c>
      <c r="J28" s="1" t="str">
        <f t="shared" si="2"/>
        <v/>
      </c>
      <c r="K28" s="19" t="str">
        <f t="shared" si="3"/>
        <v xml:space="preserve"> </v>
      </c>
    </row>
    <row r="29" spans="1:13" s="19" customFormat="1" x14ac:dyDescent="0.25">
      <c r="A29" s="19" t="str">
        <f t="array" ref="A29">IFERROR(IF(ROWS($A$5:A27)&lt;=$A$5,INDEX(Lista1[Código],SMALL(IF(FREQUENCY(IF(Lista1[Código]&lt;&gt;"",
    MATCH("~"&amp;Lista1[Código]&amp;"",Lista1[Código]&amp;"",0)),ROW(Lista1[Código])-ROW(Inicio!$A$9)+1),ROW(Lista1[Código])-ROW(Inicio!$A$9)+1),
      ROWS($A$5:A27))),""),"")</f>
        <v/>
      </c>
      <c r="B29" s="19" t="str">
        <f>IFERROR(VLOOKUP(A29,Lista1[],2,FALSE),"")</f>
        <v/>
      </c>
      <c r="C29" s="1" t="str">
        <f>IF(A29&lt;&gt;"",SUMIF(Lista1[Código],A29,Lista1[Qtd]),"")</f>
        <v/>
      </c>
      <c r="D29" s="1" t="str">
        <f t="shared" si="0"/>
        <v/>
      </c>
      <c r="E29" s="19" t="str">
        <f t="shared" si="1"/>
        <v xml:space="preserve"> </v>
      </c>
      <c r="G29" s="19" t="str">
        <f t="array" ref="G29">IFERROR(IF(ROWS($G$5:G27)&lt;=$G$5,INDEX(Lista2[Código],SMALL(IF(FREQUENCY(IF(Lista2[Código]&lt;&gt;"",
    MATCH("~"&amp;Lista2[Código]&amp;"",Lista2[Código]&amp;"",0)),ROW(Lista2[Código])-ROW(Inicio!$A$9)+1),ROW(Lista2[Código])-ROW(Inicio!$A$9)+1),
      ROWS($G$5:G27))),""),"")</f>
        <v/>
      </c>
      <c r="H29" s="19" t="str">
        <f>IFERROR(VLOOKUP(G29,Lista2[],2,FALSE),"")</f>
        <v/>
      </c>
      <c r="I29" s="1" t="str">
        <f>IF(G29&lt;&gt;"",SUMIF(Lista2[Código],G29,Lista2[Qtd]),"")</f>
        <v/>
      </c>
      <c r="J29" s="1" t="str">
        <f t="shared" si="2"/>
        <v/>
      </c>
      <c r="K29" s="19" t="str">
        <f t="shared" si="3"/>
        <v xml:space="preserve"> </v>
      </c>
    </row>
    <row r="30" spans="1:13" s="19" customFormat="1" x14ac:dyDescent="0.25">
      <c r="A30" s="19" t="str">
        <f t="array" ref="A30">IFERROR(IF(ROWS($A$5:A28)&lt;=$A$5,INDEX(Lista1[Código],SMALL(IF(FREQUENCY(IF(Lista1[Código]&lt;&gt;"",
    MATCH("~"&amp;Lista1[Código]&amp;"",Lista1[Código]&amp;"",0)),ROW(Lista1[Código])-ROW(Inicio!$A$9)+1),ROW(Lista1[Código])-ROW(Inicio!$A$9)+1),
      ROWS($A$5:A28))),""),"")</f>
        <v/>
      </c>
      <c r="B30" s="19" t="str">
        <f>IFERROR(VLOOKUP(A30,Lista1[],2,FALSE),"")</f>
        <v/>
      </c>
      <c r="C30" s="1" t="str">
        <f>IF(A30&lt;&gt;"",SUMIF(Lista1[Código],A30,Lista1[Qtd]),"")</f>
        <v/>
      </c>
      <c r="D30" s="1" t="str">
        <f t="shared" si="0"/>
        <v/>
      </c>
      <c r="E30" s="19" t="str">
        <f t="shared" si="1"/>
        <v xml:space="preserve"> </v>
      </c>
      <c r="G30" s="19" t="str">
        <f t="array" ref="G30">IFERROR(IF(ROWS($G$5:G28)&lt;=$G$5,INDEX(Lista2[Código],SMALL(IF(FREQUENCY(IF(Lista2[Código]&lt;&gt;"",
    MATCH("~"&amp;Lista2[Código]&amp;"",Lista2[Código]&amp;"",0)),ROW(Lista2[Código])-ROW(Inicio!$A$9)+1),ROW(Lista2[Código])-ROW(Inicio!$A$9)+1),
      ROWS($G$5:G28))),""),"")</f>
        <v/>
      </c>
      <c r="H30" s="19" t="str">
        <f>IFERROR(VLOOKUP(G30,Lista2[],2,FALSE),"")</f>
        <v/>
      </c>
      <c r="I30" s="1" t="str">
        <f>IF(G30&lt;&gt;"",SUMIF(Lista2[Código],G30,Lista2[Qtd]),"")</f>
        <v/>
      </c>
      <c r="J30" s="1" t="str">
        <f t="shared" si="2"/>
        <v/>
      </c>
      <c r="K30" s="19" t="str">
        <f t="shared" si="3"/>
        <v xml:space="preserve"> </v>
      </c>
    </row>
    <row r="31" spans="1:13" s="19" customFormat="1" x14ac:dyDescent="0.25">
      <c r="A31" s="19" t="str">
        <f t="array" ref="A31">IFERROR(IF(ROWS($A$5:A29)&lt;=$A$5,INDEX(Lista1[Código],SMALL(IF(FREQUENCY(IF(Lista1[Código]&lt;&gt;"",
    MATCH("~"&amp;Lista1[Código]&amp;"",Lista1[Código]&amp;"",0)),ROW(Lista1[Código])-ROW(Inicio!$A$9)+1),ROW(Lista1[Código])-ROW(Inicio!$A$9)+1),
      ROWS($A$5:A29))),""),"")</f>
        <v/>
      </c>
      <c r="B31" s="19" t="str">
        <f>IFERROR(VLOOKUP(A31,Lista1[],2,FALSE),"")</f>
        <v/>
      </c>
      <c r="C31" s="1" t="str">
        <f>IF(A31&lt;&gt;"",SUMIF(Lista1[Código],A31,Lista1[Qtd]),"")</f>
        <v/>
      </c>
      <c r="D31" s="1" t="str">
        <f t="shared" si="0"/>
        <v/>
      </c>
      <c r="E31" s="19" t="str">
        <f t="shared" si="1"/>
        <v xml:space="preserve"> </v>
      </c>
      <c r="G31" s="19" t="str">
        <f t="array" ref="G31">IFERROR(IF(ROWS($G$5:G29)&lt;=$G$5,INDEX(Lista2[Código],SMALL(IF(FREQUENCY(IF(Lista2[Código]&lt;&gt;"",
    MATCH("~"&amp;Lista2[Código]&amp;"",Lista2[Código]&amp;"",0)),ROW(Lista2[Código])-ROW(Inicio!$A$9)+1),ROW(Lista2[Código])-ROW(Inicio!$A$9)+1),
      ROWS($G$5:G29))),""),"")</f>
        <v/>
      </c>
      <c r="H31" s="19" t="str">
        <f>IFERROR(VLOOKUP(G31,Lista2[],2,FALSE),"")</f>
        <v/>
      </c>
      <c r="I31" s="1" t="str">
        <f>IF(G31&lt;&gt;"",SUMIF(Lista2[Código],G31,Lista2[Qtd]),"")</f>
        <v/>
      </c>
      <c r="J31" s="1" t="str">
        <f t="shared" si="2"/>
        <v/>
      </c>
      <c r="K31" s="19" t="str">
        <f t="shared" si="3"/>
        <v xml:space="preserve"> </v>
      </c>
    </row>
    <row r="32" spans="1:13" s="19" customFormat="1" x14ac:dyDescent="0.25">
      <c r="A32" s="19" t="str">
        <f t="array" ref="A32">IFERROR(IF(ROWS($A$5:A30)&lt;=$A$5,INDEX(Lista1[Código],SMALL(IF(FREQUENCY(IF(Lista1[Código]&lt;&gt;"",
    MATCH("~"&amp;Lista1[Código]&amp;"",Lista1[Código]&amp;"",0)),ROW(Lista1[Código])-ROW(Inicio!$A$9)+1),ROW(Lista1[Código])-ROW(Inicio!$A$9)+1),
      ROWS($A$5:A30))),""),"")</f>
        <v/>
      </c>
      <c r="B32" s="19" t="str">
        <f>IFERROR(VLOOKUP(A32,Lista1[],2,FALSE),"")</f>
        <v/>
      </c>
      <c r="C32" s="1" t="str">
        <f>IF(A32&lt;&gt;"",SUMIF(Lista1[Código],A32,Lista1[Qtd]),"")</f>
        <v/>
      </c>
      <c r="D32" s="1" t="str">
        <f t="shared" si="0"/>
        <v/>
      </c>
      <c r="E32" s="19" t="str">
        <f t="shared" si="1"/>
        <v xml:space="preserve"> </v>
      </c>
      <c r="G32" s="19" t="str">
        <f t="array" ref="G32">IFERROR(IF(ROWS($G$5:G30)&lt;=$G$5,INDEX(Lista2[Código],SMALL(IF(FREQUENCY(IF(Lista2[Código]&lt;&gt;"",
    MATCH("~"&amp;Lista2[Código]&amp;"",Lista2[Código]&amp;"",0)),ROW(Lista2[Código])-ROW(Inicio!$A$9)+1),ROW(Lista2[Código])-ROW(Inicio!$A$9)+1),
      ROWS($G$5:G30))),""),"")</f>
        <v/>
      </c>
      <c r="H32" s="19" t="str">
        <f>IFERROR(VLOOKUP(G32,Lista2[],2,FALSE),"")</f>
        <v/>
      </c>
      <c r="I32" s="1" t="str">
        <f>IF(G32&lt;&gt;"",SUMIF(Lista2[Código],G32,Lista2[Qtd]),"")</f>
        <v/>
      </c>
      <c r="J32" s="1" t="str">
        <f t="shared" si="2"/>
        <v/>
      </c>
      <c r="K32" s="19" t="str">
        <f t="shared" si="3"/>
        <v xml:space="preserve"> </v>
      </c>
    </row>
    <row r="33" spans="1:11" s="19" customFormat="1" x14ac:dyDescent="0.25">
      <c r="A33" s="19" t="str">
        <f t="array" ref="A33">IFERROR(IF(ROWS($A$5:A31)&lt;=$A$5,INDEX(Lista1[Código],SMALL(IF(FREQUENCY(IF(Lista1[Código]&lt;&gt;"",
    MATCH("~"&amp;Lista1[Código]&amp;"",Lista1[Código]&amp;"",0)),ROW(Lista1[Código])-ROW(Inicio!$A$9)+1),ROW(Lista1[Código])-ROW(Inicio!$A$9)+1),
      ROWS($A$5:A31))),""),"")</f>
        <v/>
      </c>
      <c r="B33" s="19" t="str">
        <f>IFERROR(VLOOKUP(A33,Lista1[],2,FALSE),"")</f>
        <v/>
      </c>
      <c r="C33" s="1" t="str">
        <f>IF(A33&lt;&gt;"",SUMIF(Lista1[Código],A33,Lista1[Qtd]),"")</f>
        <v/>
      </c>
      <c r="D33" s="1" t="str">
        <f t="shared" si="0"/>
        <v/>
      </c>
      <c r="E33" s="19" t="str">
        <f t="shared" si="1"/>
        <v xml:space="preserve"> </v>
      </c>
      <c r="G33" s="19" t="str">
        <f t="array" ref="G33">IFERROR(IF(ROWS($G$5:G31)&lt;=$G$5,INDEX(Lista2[Código],SMALL(IF(FREQUENCY(IF(Lista2[Código]&lt;&gt;"",
    MATCH("~"&amp;Lista2[Código]&amp;"",Lista2[Código]&amp;"",0)),ROW(Lista2[Código])-ROW(Inicio!$A$9)+1),ROW(Lista2[Código])-ROW(Inicio!$A$9)+1),
      ROWS($G$5:G31))),""),"")</f>
        <v/>
      </c>
      <c r="H33" s="19" t="str">
        <f>IFERROR(VLOOKUP(G33,Lista2[],2,FALSE),"")</f>
        <v/>
      </c>
      <c r="I33" s="1" t="str">
        <f>IF(G33&lt;&gt;"",SUMIF(Lista2[Código],G33,Lista2[Qtd]),"")</f>
        <v/>
      </c>
      <c r="J33" s="1" t="str">
        <f t="shared" si="2"/>
        <v/>
      </c>
      <c r="K33" s="19" t="str">
        <f t="shared" si="3"/>
        <v xml:space="preserve"> </v>
      </c>
    </row>
    <row r="34" spans="1:11" s="19" customFormat="1" x14ac:dyDescent="0.25">
      <c r="A34" s="19" t="str">
        <f t="array" ref="A34">IFERROR(IF(ROWS($A$5:A32)&lt;=$A$5,INDEX(Lista1[Código],SMALL(IF(FREQUENCY(IF(Lista1[Código]&lt;&gt;"",
    MATCH("~"&amp;Lista1[Código]&amp;"",Lista1[Código]&amp;"",0)),ROW(Lista1[Código])-ROW(Inicio!$A$9)+1),ROW(Lista1[Código])-ROW(Inicio!$A$9)+1),
      ROWS($A$5:A32))),""),"")</f>
        <v/>
      </c>
      <c r="B34" s="19" t="str">
        <f>IFERROR(VLOOKUP(A34,Lista1[],2,FALSE),"")</f>
        <v/>
      </c>
      <c r="C34" s="1" t="str">
        <f>IF(A34&lt;&gt;"",SUMIF(Lista1[Código],A34,Lista1[Qtd]),"")</f>
        <v/>
      </c>
      <c r="D34" s="1" t="str">
        <f t="shared" si="0"/>
        <v/>
      </c>
      <c r="E34" s="19" t="str">
        <f t="shared" si="1"/>
        <v xml:space="preserve"> </v>
      </c>
      <c r="G34" s="19" t="str">
        <f t="array" ref="G34">IFERROR(IF(ROWS($G$5:G32)&lt;=$G$5,INDEX(Lista2[Código],SMALL(IF(FREQUENCY(IF(Lista2[Código]&lt;&gt;"",
    MATCH("~"&amp;Lista2[Código]&amp;"",Lista2[Código]&amp;"",0)),ROW(Lista2[Código])-ROW(Inicio!$A$9)+1),ROW(Lista2[Código])-ROW(Inicio!$A$9)+1),
      ROWS($G$5:G32))),""),"")</f>
        <v/>
      </c>
      <c r="H34" s="19" t="str">
        <f>IFERROR(VLOOKUP(G34,Lista2[],2,FALSE),"")</f>
        <v/>
      </c>
      <c r="I34" s="1" t="str">
        <f>IF(G34&lt;&gt;"",SUMIF(Lista2[Código],G34,Lista2[Qtd]),"")</f>
        <v/>
      </c>
      <c r="J34" s="1" t="str">
        <f t="shared" si="2"/>
        <v/>
      </c>
      <c r="K34" s="19" t="str">
        <f t="shared" si="3"/>
        <v xml:space="preserve"> </v>
      </c>
    </row>
    <row r="35" spans="1:11" s="19" customFormat="1" x14ac:dyDescent="0.25">
      <c r="A35" s="19" t="str">
        <f t="array" ref="A35">IFERROR(IF(ROWS($A$5:A33)&lt;=$A$5,INDEX(Lista1[Código],SMALL(IF(FREQUENCY(IF(Lista1[Código]&lt;&gt;"",
    MATCH("~"&amp;Lista1[Código]&amp;"",Lista1[Código]&amp;"",0)),ROW(Lista1[Código])-ROW(Inicio!$A$9)+1),ROW(Lista1[Código])-ROW(Inicio!$A$9)+1),
      ROWS($A$5:A33))),""),"")</f>
        <v/>
      </c>
      <c r="B35" s="19" t="str">
        <f>IFERROR(VLOOKUP(A35,Lista1[],2,FALSE),"")</f>
        <v/>
      </c>
      <c r="C35" s="1" t="str">
        <f>IF(A35&lt;&gt;"",SUMIF(Lista1[Código],A35,Lista1[Qtd]),"")</f>
        <v/>
      </c>
      <c r="D35" s="1" t="str">
        <f t="shared" si="0"/>
        <v/>
      </c>
      <c r="E35" s="19" t="str">
        <f t="shared" si="1"/>
        <v xml:space="preserve"> </v>
      </c>
      <c r="G35" s="19" t="str">
        <f t="array" ref="G35">IFERROR(IF(ROWS($G$5:G33)&lt;=$G$5,INDEX(Lista2[Código],SMALL(IF(FREQUENCY(IF(Lista2[Código]&lt;&gt;"",
    MATCH("~"&amp;Lista2[Código]&amp;"",Lista2[Código]&amp;"",0)),ROW(Lista2[Código])-ROW(Inicio!$A$9)+1),ROW(Lista2[Código])-ROW(Inicio!$A$9)+1),
      ROWS($G$5:G33))),""),"")</f>
        <v/>
      </c>
      <c r="H35" s="19" t="str">
        <f>IFERROR(VLOOKUP(G35,Lista2[],2,FALSE),"")</f>
        <v/>
      </c>
      <c r="I35" s="1" t="str">
        <f>IF(G35&lt;&gt;"",SUMIF(Lista2[Código],G35,Lista2[Qtd]),"")</f>
        <v/>
      </c>
      <c r="J35" s="1" t="str">
        <f t="shared" si="2"/>
        <v/>
      </c>
      <c r="K35" s="19" t="str">
        <f t="shared" si="3"/>
        <v xml:space="preserve"> </v>
      </c>
    </row>
    <row r="36" spans="1:11" s="19" customFormat="1" x14ac:dyDescent="0.25">
      <c r="A36" s="19" t="str">
        <f t="array" ref="A36">IFERROR(IF(ROWS($A$5:A34)&lt;=$A$5,INDEX(Lista1[Código],SMALL(IF(FREQUENCY(IF(Lista1[Código]&lt;&gt;"",
    MATCH("~"&amp;Lista1[Código]&amp;"",Lista1[Código]&amp;"",0)),ROW(Lista1[Código])-ROW(Inicio!$A$9)+1),ROW(Lista1[Código])-ROW(Inicio!$A$9)+1),
      ROWS($A$5:A34))),""),"")</f>
        <v/>
      </c>
      <c r="B36" s="19" t="str">
        <f>IFERROR(VLOOKUP(A36,Lista1[],2,FALSE),"")</f>
        <v/>
      </c>
      <c r="C36" s="1" t="str">
        <f>IF(A36&lt;&gt;"",SUMIF(Lista1[Código],A36,Lista1[Qtd]),"")</f>
        <v/>
      </c>
      <c r="D36" s="1" t="str">
        <f t="shared" si="0"/>
        <v/>
      </c>
      <c r="E36" s="19" t="str">
        <f t="shared" si="1"/>
        <v xml:space="preserve"> </v>
      </c>
      <c r="G36" s="19" t="str">
        <f t="array" ref="G36">IFERROR(IF(ROWS($G$5:G34)&lt;=$G$5,INDEX(Lista2[Código],SMALL(IF(FREQUENCY(IF(Lista2[Código]&lt;&gt;"",
    MATCH("~"&amp;Lista2[Código]&amp;"",Lista2[Código]&amp;"",0)),ROW(Lista2[Código])-ROW(Inicio!$A$9)+1),ROW(Lista2[Código])-ROW(Inicio!$A$9)+1),
      ROWS($G$5:G34))),""),"")</f>
        <v/>
      </c>
      <c r="H36" s="19" t="str">
        <f>IFERROR(VLOOKUP(G36,Lista2[],2,FALSE),"")</f>
        <v/>
      </c>
      <c r="I36" s="1" t="str">
        <f>IF(G36&lt;&gt;"",SUMIF(Lista2[Código],G36,Lista2[Qtd]),"")</f>
        <v/>
      </c>
      <c r="J36" s="1" t="str">
        <f t="shared" si="2"/>
        <v/>
      </c>
      <c r="K36" s="19" t="str">
        <f t="shared" si="3"/>
        <v xml:space="preserve"> </v>
      </c>
    </row>
    <row r="37" spans="1:11" s="19" customFormat="1" x14ac:dyDescent="0.25">
      <c r="A37" s="19" t="str">
        <f t="array" ref="A37">IFERROR(IF(ROWS($A$5:A35)&lt;=$A$5,INDEX(Lista1[Código],SMALL(IF(FREQUENCY(IF(Lista1[Código]&lt;&gt;"",
    MATCH("~"&amp;Lista1[Código]&amp;"",Lista1[Código]&amp;"",0)),ROW(Lista1[Código])-ROW(Inicio!$A$9)+1),ROW(Lista1[Código])-ROW(Inicio!$A$9)+1),
      ROWS($A$5:A35))),""),"")</f>
        <v/>
      </c>
      <c r="B37" s="19" t="str">
        <f>IFERROR(VLOOKUP(A37,Lista1[],2,FALSE),"")</f>
        <v/>
      </c>
      <c r="C37" s="1" t="str">
        <f>IF(A37&lt;&gt;"",SUMIF(Lista1[Código],A37,Lista1[Qtd]),"")</f>
        <v/>
      </c>
      <c r="D37" s="1" t="str">
        <f t="shared" si="0"/>
        <v/>
      </c>
      <c r="E37" s="19" t="str">
        <f t="shared" si="1"/>
        <v xml:space="preserve"> </v>
      </c>
      <c r="G37" s="19" t="str">
        <f t="array" ref="G37">IFERROR(IF(ROWS($G$5:G35)&lt;=$G$5,INDEX(Lista2[Código],SMALL(IF(FREQUENCY(IF(Lista2[Código]&lt;&gt;"",
    MATCH("~"&amp;Lista2[Código]&amp;"",Lista2[Código]&amp;"",0)),ROW(Lista2[Código])-ROW(Inicio!$A$9)+1),ROW(Lista2[Código])-ROW(Inicio!$A$9)+1),
      ROWS($G$5:G35))),""),"")</f>
        <v/>
      </c>
      <c r="H37" s="19" t="str">
        <f>IFERROR(VLOOKUP(G37,Lista2[],2,FALSE),"")</f>
        <v/>
      </c>
      <c r="I37" s="1" t="str">
        <f>IF(G37&lt;&gt;"",SUMIF(Lista2[Código],G37,Lista2[Qtd]),"")</f>
        <v/>
      </c>
      <c r="J37" s="1" t="str">
        <f t="shared" si="2"/>
        <v/>
      </c>
      <c r="K37" s="19" t="str">
        <f t="shared" si="3"/>
        <v xml:space="preserve"> </v>
      </c>
    </row>
    <row r="38" spans="1:11" s="19" customFormat="1" x14ac:dyDescent="0.25">
      <c r="A38" s="19" t="str">
        <f t="array" ref="A38">IFERROR(IF(ROWS($A$5:A36)&lt;=$A$5,INDEX(Lista1[Código],SMALL(IF(FREQUENCY(IF(Lista1[Código]&lt;&gt;"",
    MATCH("~"&amp;Lista1[Código]&amp;"",Lista1[Código]&amp;"",0)),ROW(Lista1[Código])-ROW(Inicio!$A$9)+1),ROW(Lista1[Código])-ROW(Inicio!$A$9)+1),
      ROWS($A$5:A36))),""),"")</f>
        <v/>
      </c>
      <c r="B38" s="19" t="str">
        <f>IFERROR(VLOOKUP(A38,Lista1[],2,FALSE),"")</f>
        <v/>
      </c>
      <c r="C38" s="1" t="str">
        <f>IF(A38&lt;&gt;"",SUMIF(Lista1[Código],A38,Lista1[Qtd]),"")</f>
        <v/>
      </c>
      <c r="D38" s="1" t="str">
        <f t="shared" si="0"/>
        <v/>
      </c>
      <c r="E38" s="19" t="str">
        <f t="shared" si="1"/>
        <v xml:space="preserve"> </v>
      </c>
      <c r="G38" s="19" t="str">
        <f t="array" ref="G38">IFERROR(IF(ROWS($G$5:G36)&lt;=$G$5,INDEX(Lista2[Código],SMALL(IF(FREQUENCY(IF(Lista2[Código]&lt;&gt;"",
    MATCH("~"&amp;Lista2[Código]&amp;"",Lista2[Código]&amp;"",0)),ROW(Lista2[Código])-ROW(Inicio!$A$9)+1),ROW(Lista2[Código])-ROW(Inicio!$A$9)+1),
      ROWS($G$5:G36))),""),"")</f>
        <v/>
      </c>
      <c r="H38" s="19" t="str">
        <f>IFERROR(VLOOKUP(G38,Lista2[],2,FALSE),"")</f>
        <v/>
      </c>
      <c r="I38" s="1" t="str">
        <f>IF(G38&lt;&gt;"",SUMIF(Lista2[Código],G38,Lista2[Qtd]),"")</f>
        <v/>
      </c>
      <c r="J38" s="1" t="str">
        <f t="shared" si="2"/>
        <v/>
      </c>
      <c r="K38" s="19" t="str">
        <f t="shared" si="3"/>
        <v xml:space="preserve"> </v>
      </c>
    </row>
    <row r="39" spans="1:11" s="19" customFormat="1" x14ac:dyDescent="0.25">
      <c r="A39" s="19" t="str">
        <f t="array" ref="A39">IFERROR(IF(ROWS($A$5:A37)&lt;=$A$5,INDEX(Lista1[Código],SMALL(IF(FREQUENCY(IF(Lista1[Código]&lt;&gt;"",
    MATCH("~"&amp;Lista1[Código]&amp;"",Lista1[Código]&amp;"",0)),ROW(Lista1[Código])-ROW(Inicio!$A$9)+1),ROW(Lista1[Código])-ROW(Inicio!$A$9)+1),
      ROWS($A$5:A37))),""),"")</f>
        <v/>
      </c>
      <c r="B39" s="19" t="str">
        <f>IFERROR(VLOOKUP(A39,Lista1[],2,FALSE),"")</f>
        <v/>
      </c>
      <c r="C39" s="1" t="str">
        <f>IF(A39&lt;&gt;"",SUMIF(Lista1[Código],A39,Lista1[Qtd]),"")</f>
        <v/>
      </c>
      <c r="D39" s="1" t="str">
        <f t="shared" ref="D39:D70" si="4">IF(A39="","",IFERROR(INDEX($G$7:$I$200,MATCH(A39,$G$7:$G$200,0),3),0))</f>
        <v/>
      </c>
      <c r="E39" s="19" t="str">
        <f t="shared" si="1"/>
        <v xml:space="preserve"> </v>
      </c>
      <c r="G39" s="19" t="str">
        <f t="array" ref="G39">IFERROR(IF(ROWS($G$5:G37)&lt;=$G$5,INDEX(Lista2[Código],SMALL(IF(FREQUENCY(IF(Lista2[Código]&lt;&gt;"",
    MATCH("~"&amp;Lista2[Código]&amp;"",Lista2[Código]&amp;"",0)),ROW(Lista2[Código])-ROW(Inicio!$A$9)+1),ROW(Lista2[Código])-ROW(Inicio!$A$9)+1),
      ROWS($G$5:G37))),""),"")</f>
        <v/>
      </c>
      <c r="H39" s="19" t="str">
        <f>IFERROR(VLOOKUP(G39,Lista2[],2,FALSE),"")</f>
        <v/>
      </c>
      <c r="I39" s="1" t="str">
        <f>IF(G39&lt;&gt;"",SUMIF(Lista2[Código],G39,Lista2[Qtd]),"")</f>
        <v/>
      </c>
      <c r="J39" s="1" t="str">
        <f t="shared" si="2"/>
        <v/>
      </c>
      <c r="K39" s="19" t="str">
        <f t="shared" si="3"/>
        <v xml:space="preserve"> </v>
      </c>
    </row>
    <row r="40" spans="1:11" s="19" customFormat="1" x14ac:dyDescent="0.25">
      <c r="A40" s="19" t="str">
        <f t="array" ref="A40">IFERROR(IF(ROWS($A$5:A38)&lt;=$A$5,INDEX(Lista1[Código],SMALL(IF(FREQUENCY(IF(Lista1[Código]&lt;&gt;"",
    MATCH("~"&amp;Lista1[Código]&amp;"",Lista1[Código]&amp;"",0)),ROW(Lista1[Código])-ROW(Inicio!$A$9)+1),ROW(Lista1[Código])-ROW(Inicio!$A$9)+1),
      ROWS($A$5:A38))),""),"")</f>
        <v/>
      </c>
      <c r="B40" s="19" t="str">
        <f>IFERROR(VLOOKUP(A40,Lista1[],2,FALSE),"")</f>
        <v/>
      </c>
      <c r="C40" s="1" t="str">
        <f>IF(A40&lt;&gt;"",SUMIF(Lista1[Código],A40,Lista1[Qtd]),"")</f>
        <v/>
      </c>
      <c r="D40" s="1" t="str">
        <f t="shared" si="4"/>
        <v/>
      </c>
      <c r="E40" s="19" t="str">
        <f t="shared" si="1"/>
        <v xml:space="preserve"> </v>
      </c>
      <c r="G40" s="19" t="str">
        <f t="array" ref="G40">IFERROR(IF(ROWS($G$5:G38)&lt;=$G$5,INDEX(Lista2[Código],SMALL(IF(FREQUENCY(IF(Lista2[Código]&lt;&gt;"",
    MATCH("~"&amp;Lista2[Código]&amp;"",Lista2[Código]&amp;"",0)),ROW(Lista2[Código])-ROW(Inicio!$A$9)+1),ROW(Lista2[Código])-ROW(Inicio!$A$9)+1),
      ROWS($G$5:G38))),""),"")</f>
        <v/>
      </c>
      <c r="H40" s="19" t="str">
        <f>IFERROR(VLOOKUP(G40,Lista2[],2,FALSE),"")</f>
        <v/>
      </c>
      <c r="I40" s="1" t="str">
        <f>IF(G40&lt;&gt;"",SUMIF(Lista2[Código],G40,Lista2[Qtd]),"")</f>
        <v/>
      </c>
      <c r="J40" s="1" t="str">
        <f t="shared" si="2"/>
        <v/>
      </c>
      <c r="K40" s="19" t="str">
        <f t="shared" si="3"/>
        <v xml:space="preserve"> </v>
      </c>
    </row>
    <row r="41" spans="1:11" s="19" customFormat="1" x14ac:dyDescent="0.25">
      <c r="A41" s="19" t="str">
        <f t="array" ref="A41">IFERROR(IF(ROWS($A$5:A39)&lt;=$A$5,INDEX(Lista1[Código],SMALL(IF(FREQUENCY(IF(Lista1[Código]&lt;&gt;"",
    MATCH("~"&amp;Lista1[Código]&amp;"",Lista1[Código]&amp;"",0)),ROW(Lista1[Código])-ROW(Inicio!$A$9)+1),ROW(Lista1[Código])-ROW(Inicio!$A$9)+1),
      ROWS($A$5:A39))),""),"")</f>
        <v/>
      </c>
      <c r="B41" s="19" t="str">
        <f>IFERROR(VLOOKUP(A41,Lista1[],2,FALSE),"")</f>
        <v/>
      </c>
      <c r="C41" s="1" t="str">
        <f>IF(A41&lt;&gt;"",SUMIF(Lista1[Código],A41,Lista1[Qtd]),"")</f>
        <v/>
      </c>
      <c r="D41" s="1" t="str">
        <f t="shared" si="4"/>
        <v/>
      </c>
      <c r="E41" s="19" t="str">
        <f t="shared" si="1"/>
        <v xml:space="preserve"> </v>
      </c>
      <c r="G41" s="19" t="str">
        <f t="array" ref="G41">IFERROR(IF(ROWS($G$5:G39)&lt;=$G$5,INDEX(Lista2[Código],SMALL(IF(FREQUENCY(IF(Lista2[Código]&lt;&gt;"",
    MATCH("~"&amp;Lista2[Código]&amp;"",Lista2[Código]&amp;"",0)),ROW(Lista2[Código])-ROW(Inicio!$A$9)+1),ROW(Lista2[Código])-ROW(Inicio!$A$9)+1),
      ROWS($G$5:G39))),""),"")</f>
        <v/>
      </c>
      <c r="H41" s="19" t="str">
        <f>IFERROR(VLOOKUP(G41,Lista2[],2,FALSE),"")</f>
        <v/>
      </c>
      <c r="I41" s="1" t="str">
        <f>IF(G41&lt;&gt;"",SUMIF(Lista2[Código],G41,Lista2[Qtd]),"")</f>
        <v/>
      </c>
      <c r="J41" s="1" t="str">
        <f t="shared" si="2"/>
        <v/>
      </c>
      <c r="K41" s="19" t="str">
        <f t="shared" si="3"/>
        <v xml:space="preserve"> </v>
      </c>
    </row>
    <row r="42" spans="1:11" s="19" customFormat="1" x14ac:dyDescent="0.25">
      <c r="A42" s="19" t="str">
        <f t="array" ref="A42">IFERROR(IF(ROWS($A$5:A40)&lt;=$A$5,INDEX(Lista1[Código],SMALL(IF(FREQUENCY(IF(Lista1[Código]&lt;&gt;"",
    MATCH("~"&amp;Lista1[Código]&amp;"",Lista1[Código]&amp;"",0)),ROW(Lista1[Código])-ROW(Inicio!$A$9)+1),ROW(Lista1[Código])-ROW(Inicio!$A$9)+1),
      ROWS($A$5:A40))),""),"")</f>
        <v/>
      </c>
      <c r="B42" s="19" t="str">
        <f>IFERROR(VLOOKUP(A42,Lista1[],2,FALSE),"")</f>
        <v/>
      </c>
      <c r="C42" s="1" t="str">
        <f>IF(A42&lt;&gt;"",SUMIF(Lista1[Código],A42,Lista1[Qtd]),"")</f>
        <v/>
      </c>
      <c r="D42" s="1" t="str">
        <f t="shared" si="4"/>
        <v/>
      </c>
      <c r="E42" s="19" t="str">
        <f t="shared" si="1"/>
        <v xml:space="preserve"> </v>
      </c>
      <c r="G42" s="19" t="str">
        <f t="array" ref="G42">IFERROR(IF(ROWS($G$5:G40)&lt;=$G$5,INDEX(Lista2[Código],SMALL(IF(FREQUENCY(IF(Lista2[Código]&lt;&gt;"",
    MATCH("~"&amp;Lista2[Código]&amp;"",Lista2[Código]&amp;"",0)),ROW(Lista2[Código])-ROW(Inicio!$A$9)+1),ROW(Lista2[Código])-ROW(Inicio!$A$9)+1),
      ROWS($G$5:G40))),""),"")</f>
        <v/>
      </c>
      <c r="H42" s="19" t="str">
        <f>IFERROR(VLOOKUP(G42,Lista2[],2,FALSE),"")</f>
        <v/>
      </c>
      <c r="I42" s="1" t="str">
        <f>IF(G42&lt;&gt;"",SUMIF(Lista2[Código],G42,Lista2[Qtd]),"")</f>
        <v/>
      </c>
      <c r="J42" s="1" t="str">
        <f t="shared" si="2"/>
        <v/>
      </c>
      <c r="K42" s="19" t="str">
        <f t="shared" si="3"/>
        <v xml:space="preserve"> </v>
      </c>
    </row>
    <row r="43" spans="1:11" s="19" customFormat="1" x14ac:dyDescent="0.25">
      <c r="A43" s="19" t="str">
        <f t="array" ref="A43">IFERROR(IF(ROWS($A$5:A41)&lt;=$A$5,INDEX(Lista1[Código],SMALL(IF(FREQUENCY(IF(Lista1[Código]&lt;&gt;"",
    MATCH("~"&amp;Lista1[Código]&amp;"",Lista1[Código]&amp;"",0)),ROW(Lista1[Código])-ROW(Inicio!$A$9)+1),ROW(Lista1[Código])-ROW(Inicio!$A$9)+1),
      ROWS($A$5:A41))),""),"")</f>
        <v/>
      </c>
      <c r="B43" s="19" t="str">
        <f>IFERROR(VLOOKUP(A43,Lista1[],2,FALSE),"")</f>
        <v/>
      </c>
      <c r="C43" s="1" t="str">
        <f>IF(A43&lt;&gt;"",SUMIF(Lista1[Código],A43,Lista1[Qtd]),"")</f>
        <v/>
      </c>
      <c r="D43" s="1" t="str">
        <f t="shared" si="4"/>
        <v/>
      </c>
      <c r="E43" s="19" t="str">
        <f t="shared" si="1"/>
        <v xml:space="preserve"> </v>
      </c>
      <c r="G43" s="19" t="str">
        <f t="array" ref="G43">IFERROR(IF(ROWS($G$5:G41)&lt;=$G$5,INDEX(Lista2[Código],SMALL(IF(FREQUENCY(IF(Lista2[Código]&lt;&gt;"",
    MATCH("~"&amp;Lista2[Código]&amp;"",Lista2[Código]&amp;"",0)),ROW(Lista2[Código])-ROW(Inicio!$A$9)+1),ROW(Lista2[Código])-ROW(Inicio!$A$9)+1),
      ROWS($G$5:G41))),""),"")</f>
        <v/>
      </c>
      <c r="H43" s="19" t="str">
        <f>IFERROR(VLOOKUP(G43,Lista2[],2,FALSE),"")</f>
        <v/>
      </c>
      <c r="I43" s="1" t="str">
        <f>IF(G43&lt;&gt;"",SUMIF(Lista2[Código],G43,Lista2[Qtd]),"")</f>
        <v/>
      </c>
      <c r="J43" s="1" t="str">
        <f t="shared" si="2"/>
        <v/>
      </c>
      <c r="K43" s="19" t="str">
        <f t="shared" si="3"/>
        <v xml:space="preserve"> </v>
      </c>
    </row>
    <row r="44" spans="1:11" s="19" customFormat="1" x14ac:dyDescent="0.25">
      <c r="A44" s="19" t="str">
        <f t="array" ref="A44">IFERROR(IF(ROWS($A$5:A42)&lt;=$A$5,INDEX(Lista1[Código],SMALL(IF(FREQUENCY(IF(Lista1[Código]&lt;&gt;"",
    MATCH("~"&amp;Lista1[Código]&amp;"",Lista1[Código]&amp;"",0)),ROW(Lista1[Código])-ROW(Inicio!$A$9)+1),ROW(Lista1[Código])-ROW(Inicio!$A$9)+1),
      ROWS($A$5:A42))),""),"")</f>
        <v/>
      </c>
      <c r="B44" s="19" t="str">
        <f>IFERROR(VLOOKUP(A44,Lista1[],2,FALSE),"")</f>
        <v/>
      </c>
      <c r="C44" s="1" t="str">
        <f>IF(A44&lt;&gt;"",SUMIF(Lista1[Código],A44,Lista1[Qtd]),"")</f>
        <v/>
      </c>
      <c r="D44" s="1" t="str">
        <f t="shared" si="4"/>
        <v/>
      </c>
      <c r="E44" s="19" t="str">
        <f t="shared" si="1"/>
        <v xml:space="preserve"> </v>
      </c>
      <c r="G44" s="19" t="str">
        <f t="array" ref="G44">IFERROR(IF(ROWS($G$5:G42)&lt;=$G$5,INDEX(Lista2[Código],SMALL(IF(FREQUENCY(IF(Lista2[Código]&lt;&gt;"",
    MATCH("~"&amp;Lista2[Código]&amp;"",Lista2[Código]&amp;"",0)),ROW(Lista2[Código])-ROW(Inicio!$A$9)+1),ROW(Lista2[Código])-ROW(Inicio!$A$9)+1),
      ROWS($G$5:G42))),""),"")</f>
        <v/>
      </c>
      <c r="H44" s="19" t="str">
        <f>IFERROR(VLOOKUP(G44,Lista2[],2,FALSE),"")</f>
        <v/>
      </c>
      <c r="I44" s="1" t="str">
        <f>IF(G44&lt;&gt;"",SUMIF(Lista2[Código],G44,Lista2[Qtd]),"")</f>
        <v/>
      </c>
      <c r="J44" s="1" t="str">
        <f t="shared" si="2"/>
        <v/>
      </c>
      <c r="K44" s="19" t="str">
        <f t="shared" si="3"/>
        <v xml:space="preserve"> </v>
      </c>
    </row>
    <row r="45" spans="1:11" s="19" customFormat="1" x14ac:dyDescent="0.25">
      <c r="A45" s="19" t="str">
        <f t="array" ref="A45">IFERROR(IF(ROWS($A$5:A43)&lt;=$A$5,INDEX(Lista1[Código],SMALL(IF(FREQUENCY(IF(Lista1[Código]&lt;&gt;"",
    MATCH("~"&amp;Lista1[Código]&amp;"",Lista1[Código]&amp;"",0)),ROW(Lista1[Código])-ROW(Inicio!$A$9)+1),ROW(Lista1[Código])-ROW(Inicio!$A$9)+1),
      ROWS($A$5:A43))),""),"")</f>
        <v/>
      </c>
      <c r="B45" s="19" t="str">
        <f>IFERROR(VLOOKUP(A45,Lista1[],2,FALSE),"")</f>
        <v/>
      </c>
      <c r="C45" s="1" t="str">
        <f>IF(A45&lt;&gt;"",SUMIF(Lista1[Código],A45,Lista1[Qtd]),"")</f>
        <v/>
      </c>
      <c r="D45" s="1" t="str">
        <f t="shared" si="4"/>
        <v/>
      </c>
      <c r="E45" s="19" t="str">
        <f t="shared" si="1"/>
        <v xml:space="preserve"> </v>
      </c>
      <c r="G45" s="19" t="str">
        <f t="array" ref="G45">IFERROR(IF(ROWS($G$5:G43)&lt;=$G$5,INDEX(Lista2[Código],SMALL(IF(FREQUENCY(IF(Lista2[Código]&lt;&gt;"",
    MATCH("~"&amp;Lista2[Código]&amp;"",Lista2[Código]&amp;"",0)),ROW(Lista2[Código])-ROW(Inicio!$A$9)+1),ROW(Lista2[Código])-ROW(Inicio!$A$9)+1),
      ROWS($G$5:G43))),""),"")</f>
        <v/>
      </c>
      <c r="H45" s="19" t="str">
        <f>IFERROR(VLOOKUP(G45,Lista2[],2,FALSE),"")</f>
        <v/>
      </c>
      <c r="I45" s="1" t="str">
        <f>IF(G45&lt;&gt;"",SUMIF(Lista2[Código],G45,Lista2[Qtd]),"")</f>
        <v/>
      </c>
      <c r="J45" s="1" t="str">
        <f t="shared" si="2"/>
        <v/>
      </c>
      <c r="K45" s="19" t="str">
        <f t="shared" si="3"/>
        <v xml:space="preserve"> </v>
      </c>
    </row>
    <row r="46" spans="1:11" s="19" customFormat="1" x14ac:dyDescent="0.25">
      <c r="A46" s="19" t="str">
        <f t="array" ref="A46">IFERROR(IF(ROWS($A$5:A44)&lt;=$A$5,INDEX(Lista1[Código],SMALL(IF(FREQUENCY(IF(Lista1[Código]&lt;&gt;"",
    MATCH("~"&amp;Lista1[Código]&amp;"",Lista1[Código]&amp;"",0)),ROW(Lista1[Código])-ROW(Inicio!$A$9)+1),ROW(Lista1[Código])-ROW(Inicio!$A$9)+1),
      ROWS($A$5:A44))),""),"")</f>
        <v/>
      </c>
      <c r="B46" s="19" t="str">
        <f>IFERROR(VLOOKUP(A46,Lista1[],2,FALSE),"")</f>
        <v/>
      </c>
      <c r="C46" s="1" t="str">
        <f>IF(A46&lt;&gt;"",SUMIF(Lista1[Código],A46,Lista1[Qtd]),"")</f>
        <v/>
      </c>
      <c r="D46" s="1" t="str">
        <f t="shared" si="4"/>
        <v/>
      </c>
      <c r="E46" s="19" t="str">
        <f t="shared" si="1"/>
        <v xml:space="preserve"> </v>
      </c>
      <c r="G46" s="19" t="str">
        <f t="array" ref="G46">IFERROR(IF(ROWS($G$5:G44)&lt;=$G$5,INDEX(Lista2[Código],SMALL(IF(FREQUENCY(IF(Lista2[Código]&lt;&gt;"",
    MATCH("~"&amp;Lista2[Código]&amp;"",Lista2[Código]&amp;"",0)),ROW(Lista2[Código])-ROW(Inicio!$A$9)+1),ROW(Lista2[Código])-ROW(Inicio!$A$9)+1),
      ROWS($G$5:G44))),""),"")</f>
        <v/>
      </c>
      <c r="H46" s="19" t="str">
        <f>IFERROR(VLOOKUP(G46,Lista2[],2,FALSE),"")</f>
        <v/>
      </c>
      <c r="I46" s="1" t="str">
        <f>IF(G46&lt;&gt;"",SUMIF(Lista2[Código],G46,Lista2[Qtd]),"")</f>
        <v/>
      </c>
      <c r="J46" s="1" t="str">
        <f t="shared" si="2"/>
        <v/>
      </c>
      <c r="K46" s="19" t="str">
        <f t="shared" si="3"/>
        <v xml:space="preserve"> </v>
      </c>
    </row>
    <row r="47" spans="1:11" s="19" customFormat="1" x14ac:dyDescent="0.25">
      <c r="A47" s="19" t="str">
        <f t="array" ref="A47">IFERROR(IF(ROWS($A$5:A45)&lt;=$A$5,INDEX(Lista1[Código],SMALL(IF(FREQUENCY(IF(Lista1[Código]&lt;&gt;"",
    MATCH("~"&amp;Lista1[Código]&amp;"",Lista1[Código]&amp;"",0)),ROW(Lista1[Código])-ROW(Inicio!$A$9)+1),ROW(Lista1[Código])-ROW(Inicio!$A$9)+1),
      ROWS($A$5:A45))),""),"")</f>
        <v/>
      </c>
      <c r="B47" s="19" t="str">
        <f>IFERROR(VLOOKUP(A47,Lista1[],2,FALSE),"")</f>
        <v/>
      </c>
      <c r="C47" s="1" t="str">
        <f>IF(A47&lt;&gt;"",SUMIF(Lista1[Código],A47,Lista1[Qtd]),"")</f>
        <v/>
      </c>
      <c r="D47" s="1" t="str">
        <f t="shared" si="4"/>
        <v/>
      </c>
      <c r="E47" s="19" t="str">
        <f t="shared" si="1"/>
        <v xml:space="preserve"> </v>
      </c>
      <c r="G47" s="19" t="str">
        <f t="array" ref="G47">IFERROR(IF(ROWS($G$5:G45)&lt;=$G$5,INDEX(Lista2[Código],SMALL(IF(FREQUENCY(IF(Lista2[Código]&lt;&gt;"",
    MATCH("~"&amp;Lista2[Código]&amp;"",Lista2[Código]&amp;"",0)),ROW(Lista2[Código])-ROW(Inicio!$A$9)+1),ROW(Lista2[Código])-ROW(Inicio!$A$9)+1),
      ROWS($G$5:G45))),""),"")</f>
        <v/>
      </c>
      <c r="H47" s="19" t="str">
        <f>IFERROR(VLOOKUP(G47,Lista2[],2,FALSE),"")</f>
        <v/>
      </c>
      <c r="I47" s="1" t="str">
        <f>IF(G47&lt;&gt;"",SUMIF(Lista2[Código],G47,Lista2[Qtd]),"")</f>
        <v/>
      </c>
      <c r="J47" s="1" t="str">
        <f t="shared" si="2"/>
        <v/>
      </c>
      <c r="K47" s="19" t="str">
        <f t="shared" si="3"/>
        <v xml:space="preserve"> </v>
      </c>
    </row>
    <row r="48" spans="1:11" s="19" customFormat="1" x14ac:dyDescent="0.25">
      <c r="A48" s="19" t="str">
        <f t="array" ref="A48">IFERROR(IF(ROWS($A$5:A46)&lt;=$A$5,INDEX(Lista1[Código],SMALL(IF(FREQUENCY(IF(Lista1[Código]&lt;&gt;"",
    MATCH("~"&amp;Lista1[Código]&amp;"",Lista1[Código]&amp;"",0)),ROW(Lista1[Código])-ROW(Inicio!$A$9)+1),ROW(Lista1[Código])-ROW(Inicio!$A$9)+1),
      ROWS($A$5:A46))),""),"")</f>
        <v/>
      </c>
      <c r="B48" s="19" t="str">
        <f>IFERROR(VLOOKUP(A48,Lista1[],2,FALSE),"")</f>
        <v/>
      </c>
      <c r="C48" s="1" t="str">
        <f>IF(A48&lt;&gt;"",SUMIF(Lista1[Código],A48,Lista1[Qtd]),"")</f>
        <v/>
      </c>
      <c r="D48" s="1" t="str">
        <f t="shared" si="4"/>
        <v/>
      </c>
      <c r="E48" s="19" t="str">
        <f t="shared" si="1"/>
        <v xml:space="preserve"> </v>
      </c>
      <c r="G48" s="19" t="str">
        <f t="array" ref="G48">IFERROR(IF(ROWS($G$5:G46)&lt;=$G$5,INDEX(Lista2[Código],SMALL(IF(FREQUENCY(IF(Lista2[Código]&lt;&gt;"",
    MATCH("~"&amp;Lista2[Código]&amp;"",Lista2[Código]&amp;"",0)),ROW(Lista2[Código])-ROW(Inicio!$A$9)+1),ROW(Lista2[Código])-ROW(Inicio!$A$9)+1),
      ROWS($G$5:G46))),""),"")</f>
        <v/>
      </c>
      <c r="H48" s="19" t="str">
        <f>IFERROR(VLOOKUP(G48,Lista2[],2,FALSE),"")</f>
        <v/>
      </c>
      <c r="I48" s="1" t="str">
        <f>IF(G48&lt;&gt;"",SUMIF(Lista2[Código],G48,Lista2[Qtd]),"")</f>
        <v/>
      </c>
      <c r="J48" s="1" t="str">
        <f t="shared" si="2"/>
        <v/>
      </c>
      <c r="K48" s="19" t="str">
        <f t="shared" si="3"/>
        <v xml:space="preserve"> </v>
      </c>
    </row>
    <row r="49" spans="1:11" s="19" customFormat="1" x14ac:dyDescent="0.25">
      <c r="A49" s="19" t="str">
        <f t="array" ref="A49">IFERROR(IF(ROWS($A$5:A47)&lt;=$A$5,INDEX(Lista1[Código],SMALL(IF(FREQUENCY(IF(Lista1[Código]&lt;&gt;"",
    MATCH("~"&amp;Lista1[Código]&amp;"",Lista1[Código]&amp;"",0)),ROW(Lista1[Código])-ROW(Inicio!$A$9)+1),ROW(Lista1[Código])-ROW(Inicio!$A$9)+1),
      ROWS($A$5:A47))),""),"")</f>
        <v/>
      </c>
      <c r="B49" s="19" t="str">
        <f>IFERROR(VLOOKUP(A49,Lista1[],2,FALSE),"")</f>
        <v/>
      </c>
      <c r="C49" s="1" t="str">
        <f>IF(A49&lt;&gt;"",SUMIF(Lista1[Código],A49,Lista1[Qtd]),"")</f>
        <v/>
      </c>
      <c r="D49" s="1" t="str">
        <f t="shared" si="4"/>
        <v/>
      </c>
      <c r="E49" s="19" t="str">
        <f t="shared" si="1"/>
        <v xml:space="preserve"> </v>
      </c>
      <c r="G49" s="19" t="str">
        <f t="array" ref="G49">IFERROR(IF(ROWS($G$5:G47)&lt;=$G$5,INDEX(Lista2[Código],SMALL(IF(FREQUENCY(IF(Lista2[Código]&lt;&gt;"",
    MATCH("~"&amp;Lista2[Código]&amp;"",Lista2[Código]&amp;"",0)),ROW(Lista2[Código])-ROW(Inicio!$A$9)+1),ROW(Lista2[Código])-ROW(Inicio!$A$9)+1),
      ROWS($G$5:G47))),""),"")</f>
        <v/>
      </c>
      <c r="H49" s="19" t="str">
        <f>IFERROR(VLOOKUP(G49,Lista2[],2,FALSE),"")</f>
        <v/>
      </c>
      <c r="I49" s="1" t="str">
        <f>IF(G49&lt;&gt;"",SUMIF(Lista2[Código],G49,Lista2[Qtd]),"")</f>
        <v/>
      </c>
      <c r="J49" s="1" t="str">
        <f t="shared" si="2"/>
        <v/>
      </c>
      <c r="K49" s="19" t="str">
        <f t="shared" si="3"/>
        <v xml:space="preserve"> </v>
      </c>
    </row>
    <row r="50" spans="1:11" s="19" customFormat="1" x14ac:dyDescent="0.25">
      <c r="A50" s="19" t="str">
        <f t="array" ref="A50">IFERROR(IF(ROWS($A$5:A48)&lt;=$A$5,INDEX(Lista1[Código],SMALL(IF(FREQUENCY(IF(Lista1[Código]&lt;&gt;"",
    MATCH("~"&amp;Lista1[Código]&amp;"",Lista1[Código]&amp;"",0)),ROW(Lista1[Código])-ROW(Inicio!$A$9)+1),ROW(Lista1[Código])-ROW(Inicio!$A$9)+1),
      ROWS($A$5:A48))),""),"")</f>
        <v/>
      </c>
      <c r="B50" s="19" t="str">
        <f>IFERROR(VLOOKUP(A50,Lista1[],2,FALSE),"")</f>
        <v/>
      </c>
      <c r="C50" s="1" t="str">
        <f>IF(A50&lt;&gt;"",SUMIF(Lista1[Código],A50,Lista1[Qtd]),"")</f>
        <v/>
      </c>
      <c r="D50" s="1" t="str">
        <f t="shared" si="4"/>
        <v/>
      </c>
      <c r="E50" s="19" t="str">
        <f t="shared" si="1"/>
        <v xml:space="preserve"> </v>
      </c>
      <c r="G50" s="19" t="str">
        <f t="array" ref="G50">IFERROR(IF(ROWS($G$5:G48)&lt;=$G$5,INDEX(Lista2[Código],SMALL(IF(FREQUENCY(IF(Lista2[Código]&lt;&gt;"",
    MATCH("~"&amp;Lista2[Código]&amp;"",Lista2[Código]&amp;"",0)),ROW(Lista2[Código])-ROW(Inicio!$A$9)+1),ROW(Lista2[Código])-ROW(Inicio!$A$9)+1),
      ROWS($G$5:G48))),""),"")</f>
        <v/>
      </c>
      <c r="H50" s="19" t="str">
        <f>IFERROR(VLOOKUP(G50,Lista2[],2,FALSE),"")</f>
        <v/>
      </c>
      <c r="I50" s="1" t="str">
        <f>IF(G50&lt;&gt;"",SUMIF(Lista2[Código],G50,Lista2[Qtd]),"")</f>
        <v/>
      </c>
      <c r="J50" s="1" t="str">
        <f t="shared" si="2"/>
        <v/>
      </c>
      <c r="K50" s="19" t="str">
        <f t="shared" si="3"/>
        <v xml:space="preserve"> </v>
      </c>
    </row>
    <row r="51" spans="1:11" s="19" customFormat="1" x14ac:dyDescent="0.25">
      <c r="A51" s="19" t="str">
        <f t="array" ref="A51">IFERROR(IF(ROWS($A$5:A49)&lt;=$A$5,INDEX(Lista1[Código],SMALL(IF(FREQUENCY(IF(Lista1[Código]&lt;&gt;"",
    MATCH("~"&amp;Lista1[Código]&amp;"",Lista1[Código]&amp;"",0)),ROW(Lista1[Código])-ROW(Inicio!$A$9)+1),ROW(Lista1[Código])-ROW(Inicio!$A$9)+1),
      ROWS($A$5:A49))),""),"")</f>
        <v/>
      </c>
      <c r="B51" s="19" t="str">
        <f>IFERROR(VLOOKUP(A51,Lista1[],2,FALSE),"")</f>
        <v/>
      </c>
      <c r="C51" s="1" t="str">
        <f>IF(A51&lt;&gt;"",SUMIF(Lista1[Código],A51,Lista1[Qtd]),"")</f>
        <v/>
      </c>
      <c r="D51" s="1" t="str">
        <f t="shared" si="4"/>
        <v/>
      </c>
      <c r="E51" s="19" t="str">
        <f t="shared" si="1"/>
        <v xml:space="preserve"> </v>
      </c>
      <c r="G51" s="19" t="str">
        <f t="array" ref="G51">IFERROR(IF(ROWS($G$5:G49)&lt;=$G$5,INDEX(Lista2[Código],SMALL(IF(FREQUENCY(IF(Lista2[Código]&lt;&gt;"",
    MATCH("~"&amp;Lista2[Código]&amp;"",Lista2[Código]&amp;"",0)),ROW(Lista2[Código])-ROW(Inicio!$A$9)+1),ROW(Lista2[Código])-ROW(Inicio!$A$9)+1),
      ROWS($G$5:G49))),""),"")</f>
        <v/>
      </c>
      <c r="H51" s="19" t="str">
        <f>IFERROR(VLOOKUP(G51,Lista2[],2,FALSE),"")</f>
        <v/>
      </c>
      <c r="I51" s="1" t="str">
        <f>IF(G51&lt;&gt;"",SUMIF(Lista2[Código],G51,Lista2[Qtd]),"")</f>
        <v/>
      </c>
      <c r="J51" s="1" t="str">
        <f t="shared" si="2"/>
        <v/>
      </c>
      <c r="K51" s="19" t="str">
        <f t="shared" si="3"/>
        <v xml:space="preserve"> </v>
      </c>
    </row>
    <row r="52" spans="1:11" s="19" customFormat="1" x14ac:dyDescent="0.25">
      <c r="A52" s="19" t="str">
        <f t="array" ref="A52">IFERROR(IF(ROWS($A$5:A50)&lt;=$A$5,INDEX(Lista1[Código],SMALL(IF(FREQUENCY(IF(Lista1[Código]&lt;&gt;"",
    MATCH("~"&amp;Lista1[Código]&amp;"",Lista1[Código]&amp;"",0)),ROW(Lista1[Código])-ROW(Inicio!$A$9)+1),ROW(Lista1[Código])-ROW(Inicio!$A$9)+1),
      ROWS($A$5:A50))),""),"")</f>
        <v/>
      </c>
      <c r="B52" s="19" t="str">
        <f>IFERROR(VLOOKUP(A52,Lista1[],2,FALSE),"")</f>
        <v/>
      </c>
      <c r="C52" s="1" t="str">
        <f>IF(A52&lt;&gt;"",SUMIF(Lista1[Código],A52,Lista1[Qtd]),"")</f>
        <v/>
      </c>
      <c r="D52" s="1" t="str">
        <f t="shared" si="4"/>
        <v/>
      </c>
      <c r="E52" s="19" t="str">
        <f t="shared" si="1"/>
        <v xml:space="preserve"> </v>
      </c>
      <c r="G52" s="19" t="str">
        <f t="array" ref="G52">IFERROR(IF(ROWS($G$5:G50)&lt;=$G$5,INDEX(Lista2[Código],SMALL(IF(FREQUENCY(IF(Lista2[Código]&lt;&gt;"",
    MATCH("~"&amp;Lista2[Código]&amp;"",Lista2[Código]&amp;"",0)),ROW(Lista2[Código])-ROW(Inicio!$A$9)+1),ROW(Lista2[Código])-ROW(Inicio!$A$9)+1),
      ROWS($G$5:G50))),""),"")</f>
        <v/>
      </c>
      <c r="H52" s="19" t="str">
        <f>IFERROR(VLOOKUP(G52,Lista2[],2,FALSE),"")</f>
        <v/>
      </c>
      <c r="I52" s="1" t="str">
        <f>IF(G52&lt;&gt;"",SUMIF(Lista2[Código],G52,Lista2[Qtd]),"")</f>
        <v/>
      </c>
      <c r="J52" s="1" t="str">
        <f t="shared" si="2"/>
        <v/>
      </c>
      <c r="K52" s="19" t="str">
        <f t="shared" si="3"/>
        <v xml:space="preserve"> </v>
      </c>
    </row>
    <row r="53" spans="1:11" s="19" customFormat="1" x14ac:dyDescent="0.25">
      <c r="A53" s="19" t="str">
        <f t="array" ref="A53">IFERROR(IF(ROWS($A$5:A51)&lt;=$A$5,INDEX(Lista1[Código],SMALL(IF(FREQUENCY(IF(Lista1[Código]&lt;&gt;"",
    MATCH("~"&amp;Lista1[Código]&amp;"",Lista1[Código]&amp;"",0)),ROW(Lista1[Código])-ROW(Inicio!$A$9)+1),ROW(Lista1[Código])-ROW(Inicio!$A$9)+1),
      ROWS($A$5:A51))),""),"")</f>
        <v/>
      </c>
      <c r="B53" s="19" t="str">
        <f>IFERROR(VLOOKUP(A53,Lista1[],2,FALSE),"")</f>
        <v/>
      </c>
      <c r="C53" s="1" t="str">
        <f>IF(A53&lt;&gt;"",SUMIF(Lista1[Código],A53,Lista1[Qtd]),"")</f>
        <v/>
      </c>
      <c r="D53" s="1" t="str">
        <f t="shared" si="4"/>
        <v/>
      </c>
      <c r="E53" s="19" t="str">
        <f t="shared" si="1"/>
        <v xml:space="preserve"> </v>
      </c>
      <c r="G53" s="19" t="str">
        <f t="array" ref="G53">IFERROR(IF(ROWS($G$5:G51)&lt;=$G$5,INDEX(Lista2[Código],SMALL(IF(FREQUENCY(IF(Lista2[Código]&lt;&gt;"",
    MATCH("~"&amp;Lista2[Código]&amp;"",Lista2[Código]&amp;"",0)),ROW(Lista2[Código])-ROW(Inicio!$A$9)+1),ROW(Lista2[Código])-ROW(Inicio!$A$9)+1),
      ROWS($G$5:G51))),""),"")</f>
        <v/>
      </c>
      <c r="H53" s="19" t="str">
        <f>IFERROR(VLOOKUP(G53,Lista2[],2,FALSE),"")</f>
        <v/>
      </c>
      <c r="I53" s="1" t="str">
        <f>IF(G53&lt;&gt;"",SUMIF(Lista2[Código],G53,Lista2[Qtd]),"")</f>
        <v/>
      </c>
      <c r="J53" s="1" t="str">
        <f t="shared" si="2"/>
        <v/>
      </c>
      <c r="K53" s="19" t="str">
        <f t="shared" si="3"/>
        <v xml:space="preserve"> </v>
      </c>
    </row>
    <row r="54" spans="1:11" s="19" customFormat="1" x14ac:dyDescent="0.25">
      <c r="A54" s="19" t="str">
        <f t="array" ref="A54">IFERROR(IF(ROWS($A$5:A52)&lt;=$A$5,INDEX(Lista1[Código],SMALL(IF(FREQUENCY(IF(Lista1[Código]&lt;&gt;"",
    MATCH("~"&amp;Lista1[Código]&amp;"",Lista1[Código]&amp;"",0)),ROW(Lista1[Código])-ROW(Inicio!$A$9)+1),ROW(Lista1[Código])-ROW(Inicio!$A$9)+1),
      ROWS($A$5:A52))),""),"")</f>
        <v/>
      </c>
      <c r="B54" s="19" t="str">
        <f>IFERROR(VLOOKUP(A54,Lista1[],2,FALSE),"")</f>
        <v/>
      </c>
      <c r="C54" s="1" t="str">
        <f>IF(A54&lt;&gt;"",SUMIF(Lista1[Código],A54,Lista1[Qtd]),"")</f>
        <v/>
      </c>
      <c r="D54" s="1" t="str">
        <f t="shared" si="4"/>
        <v/>
      </c>
      <c r="E54" s="19" t="str">
        <f t="shared" si="1"/>
        <v xml:space="preserve"> </v>
      </c>
      <c r="G54" s="19" t="str">
        <f t="array" ref="G54">IFERROR(IF(ROWS($G$5:G52)&lt;=$G$5,INDEX(Lista2[Código],SMALL(IF(FREQUENCY(IF(Lista2[Código]&lt;&gt;"",
    MATCH("~"&amp;Lista2[Código]&amp;"",Lista2[Código]&amp;"",0)),ROW(Lista2[Código])-ROW(Inicio!$A$9)+1),ROW(Lista2[Código])-ROW(Inicio!$A$9)+1),
      ROWS($G$5:G52))),""),"")</f>
        <v/>
      </c>
      <c r="H54" s="19" t="str">
        <f>IFERROR(VLOOKUP(G54,Lista2[],2,FALSE),"")</f>
        <v/>
      </c>
      <c r="I54" s="1" t="str">
        <f>IF(G54&lt;&gt;"",SUMIF(Lista2[Código],G54,Lista2[Qtd]),"")</f>
        <v/>
      </c>
      <c r="J54" s="1" t="str">
        <f t="shared" si="2"/>
        <v/>
      </c>
      <c r="K54" s="19" t="str">
        <f t="shared" si="3"/>
        <v xml:space="preserve"> </v>
      </c>
    </row>
    <row r="55" spans="1:11" s="19" customFormat="1" x14ac:dyDescent="0.25">
      <c r="A55" s="19" t="str">
        <f t="array" ref="A55">IFERROR(IF(ROWS($A$5:A53)&lt;=$A$5,INDEX(Lista1[Código],SMALL(IF(FREQUENCY(IF(Lista1[Código]&lt;&gt;"",
    MATCH("~"&amp;Lista1[Código]&amp;"",Lista1[Código]&amp;"",0)),ROW(Lista1[Código])-ROW(Inicio!$A$9)+1),ROW(Lista1[Código])-ROW(Inicio!$A$9)+1),
      ROWS($A$5:A53))),""),"")</f>
        <v/>
      </c>
      <c r="B55" s="19" t="str">
        <f>IFERROR(VLOOKUP(A55,Lista1[],2,FALSE),"")</f>
        <v/>
      </c>
      <c r="C55" s="1" t="str">
        <f>IF(A55&lt;&gt;"",SUMIF(Lista1[Código],A55,Lista1[Qtd]),"")</f>
        <v/>
      </c>
      <c r="D55" s="1" t="str">
        <f t="shared" si="4"/>
        <v/>
      </c>
      <c r="E55" s="19" t="str">
        <f t="shared" si="1"/>
        <v xml:space="preserve"> </v>
      </c>
      <c r="G55" s="19" t="str">
        <f t="array" ref="G55">IFERROR(IF(ROWS($G$5:G53)&lt;=$G$5,INDEX(Lista2[Código],SMALL(IF(FREQUENCY(IF(Lista2[Código]&lt;&gt;"",
    MATCH("~"&amp;Lista2[Código]&amp;"",Lista2[Código]&amp;"",0)),ROW(Lista2[Código])-ROW(Inicio!$A$9)+1),ROW(Lista2[Código])-ROW(Inicio!$A$9)+1),
      ROWS($G$5:G53))),""),"")</f>
        <v/>
      </c>
      <c r="H55" s="19" t="str">
        <f>IFERROR(VLOOKUP(G55,Lista2[],2,FALSE),"")</f>
        <v/>
      </c>
      <c r="I55" s="1" t="str">
        <f>IF(G55&lt;&gt;"",SUMIF(Lista2[Código],G55,Lista2[Qtd]),"")</f>
        <v/>
      </c>
      <c r="J55" s="1" t="str">
        <f t="shared" si="2"/>
        <v/>
      </c>
      <c r="K55" s="19" t="str">
        <f t="shared" si="3"/>
        <v xml:space="preserve"> </v>
      </c>
    </row>
    <row r="56" spans="1:11" s="19" customFormat="1" x14ac:dyDescent="0.25">
      <c r="A56" s="19" t="str">
        <f t="array" ref="A56">IFERROR(IF(ROWS($A$5:A54)&lt;=$A$5,INDEX(Lista1[Código],SMALL(IF(FREQUENCY(IF(Lista1[Código]&lt;&gt;"",
    MATCH("~"&amp;Lista1[Código]&amp;"",Lista1[Código]&amp;"",0)),ROW(Lista1[Código])-ROW(Inicio!$A$9)+1),ROW(Lista1[Código])-ROW(Inicio!$A$9)+1),
      ROWS($A$5:A54))),""),"")</f>
        <v/>
      </c>
      <c r="B56" s="19" t="str">
        <f>IFERROR(VLOOKUP(A56,Lista1[],2,FALSE),"")</f>
        <v/>
      </c>
      <c r="C56" s="1" t="str">
        <f>IF(A56&lt;&gt;"",SUMIF(Lista1[Código],A56,Lista1[Qtd]),"")</f>
        <v/>
      </c>
      <c r="D56" s="1" t="str">
        <f t="shared" si="4"/>
        <v/>
      </c>
      <c r="E56" s="19" t="str">
        <f t="shared" si="1"/>
        <v xml:space="preserve"> </v>
      </c>
      <c r="G56" s="19" t="str">
        <f t="array" ref="G56">IFERROR(IF(ROWS($G$5:G54)&lt;=$G$5,INDEX(Lista2[Código],SMALL(IF(FREQUENCY(IF(Lista2[Código]&lt;&gt;"",
    MATCH("~"&amp;Lista2[Código]&amp;"",Lista2[Código]&amp;"",0)),ROW(Lista2[Código])-ROW(Inicio!$A$9)+1),ROW(Lista2[Código])-ROW(Inicio!$A$9)+1),
      ROWS($G$5:G54))),""),"")</f>
        <v/>
      </c>
      <c r="H56" s="19" t="str">
        <f>IFERROR(VLOOKUP(G56,Lista2[],2,FALSE),"")</f>
        <v/>
      </c>
      <c r="I56" s="1" t="str">
        <f>IF(G56&lt;&gt;"",SUMIF(Lista2[Código],G56,Lista2[Qtd]),"")</f>
        <v/>
      </c>
      <c r="J56" s="1" t="str">
        <f t="shared" si="2"/>
        <v/>
      </c>
      <c r="K56" s="19" t="str">
        <f t="shared" si="3"/>
        <v xml:space="preserve"> </v>
      </c>
    </row>
    <row r="57" spans="1:11" s="19" customFormat="1" x14ac:dyDescent="0.25">
      <c r="A57" s="19" t="str">
        <f t="array" ref="A57">IFERROR(IF(ROWS($A$5:A55)&lt;=$A$5,INDEX(Lista1[Código],SMALL(IF(FREQUENCY(IF(Lista1[Código]&lt;&gt;"",
    MATCH("~"&amp;Lista1[Código]&amp;"",Lista1[Código]&amp;"",0)),ROW(Lista1[Código])-ROW(Inicio!$A$9)+1),ROW(Lista1[Código])-ROW(Inicio!$A$9)+1),
      ROWS($A$5:A55))),""),"")</f>
        <v/>
      </c>
      <c r="B57" s="19" t="str">
        <f>IFERROR(VLOOKUP(A57,Lista1[],2,FALSE),"")</f>
        <v/>
      </c>
      <c r="C57" s="1" t="str">
        <f>IF(A57&lt;&gt;"",SUMIF(Lista1[Código],A57,Lista1[Qtd]),"")</f>
        <v/>
      </c>
      <c r="D57" s="1" t="str">
        <f t="shared" si="4"/>
        <v/>
      </c>
      <c r="E57" s="19" t="str">
        <f t="shared" si="1"/>
        <v xml:space="preserve"> </v>
      </c>
      <c r="G57" s="19" t="str">
        <f t="array" ref="G57">IFERROR(IF(ROWS($G$5:G55)&lt;=$G$5,INDEX(Lista2[Código],SMALL(IF(FREQUENCY(IF(Lista2[Código]&lt;&gt;"",
    MATCH("~"&amp;Lista2[Código]&amp;"",Lista2[Código]&amp;"",0)),ROW(Lista2[Código])-ROW(Inicio!$A$9)+1),ROW(Lista2[Código])-ROW(Inicio!$A$9)+1),
      ROWS($G$5:G55))),""),"")</f>
        <v/>
      </c>
      <c r="H57" s="19" t="str">
        <f>IFERROR(VLOOKUP(G57,Lista2[],2,FALSE),"")</f>
        <v/>
      </c>
      <c r="I57" s="1" t="str">
        <f>IF(G57&lt;&gt;"",SUMIF(Lista2[Código],G57,Lista2[Qtd]),"")</f>
        <v/>
      </c>
      <c r="J57" s="1" t="str">
        <f t="shared" si="2"/>
        <v/>
      </c>
      <c r="K57" s="19" t="str">
        <f t="shared" si="3"/>
        <v xml:space="preserve"> </v>
      </c>
    </row>
    <row r="58" spans="1:11" s="19" customFormat="1" x14ac:dyDescent="0.25">
      <c r="A58" s="19" t="str">
        <f t="array" ref="A58">IFERROR(IF(ROWS($A$5:A56)&lt;=$A$5,INDEX(Lista1[Código],SMALL(IF(FREQUENCY(IF(Lista1[Código]&lt;&gt;"",
    MATCH("~"&amp;Lista1[Código]&amp;"",Lista1[Código]&amp;"",0)),ROW(Lista1[Código])-ROW(Inicio!$A$9)+1),ROW(Lista1[Código])-ROW(Inicio!$A$9)+1),
      ROWS($A$5:A56))),""),"")</f>
        <v/>
      </c>
      <c r="B58" s="19" t="str">
        <f>IFERROR(VLOOKUP(A58,Lista1[],2,FALSE),"")</f>
        <v/>
      </c>
      <c r="C58" s="1" t="str">
        <f>IF(A58&lt;&gt;"",SUMIF(Lista1[Código],A58,Lista1[Qtd]),"")</f>
        <v/>
      </c>
      <c r="D58" s="1" t="str">
        <f t="shared" si="4"/>
        <v/>
      </c>
      <c r="E58" s="19" t="str">
        <f t="shared" si="1"/>
        <v xml:space="preserve"> </v>
      </c>
      <c r="G58" s="19" t="str">
        <f t="array" ref="G58">IFERROR(IF(ROWS($G$5:G56)&lt;=$G$5,INDEX(Lista2[Código],SMALL(IF(FREQUENCY(IF(Lista2[Código]&lt;&gt;"",
    MATCH("~"&amp;Lista2[Código]&amp;"",Lista2[Código]&amp;"",0)),ROW(Lista2[Código])-ROW(Inicio!$A$9)+1),ROW(Lista2[Código])-ROW(Inicio!$A$9)+1),
      ROWS($G$5:G56))),""),"")</f>
        <v/>
      </c>
      <c r="H58" s="19" t="str">
        <f>IFERROR(VLOOKUP(G58,Lista2[],2,FALSE),"")</f>
        <v/>
      </c>
      <c r="I58" s="1" t="str">
        <f>IF(G58&lt;&gt;"",SUMIF(Lista2[Código],G58,Lista2[Qtd]),"")</f>
        <v/>
      </c>
      <c r="J58" s="1" t="str">
        <f t="shared" si="2"/>
        <v/>
      </c>
      <c r="K58" s="19" t="str">
        <f t="shared" si="3"/>
        <v xml:space="preserve"> </v>
      </c>
    </row>
    <row r="59" spans="1:11" s="19" customFormat="1" x14ac:dyDescent="0.25">
      <c r="A59" s="19" t="str">
        <f t="array" ref="A59">IFERROR(IF(ROWS($A$5:A57)&lt;=$A$5,INDEX(Lista1[Código],SMALL(IF(FREQUENCY(IF(Lista1[Código]&lt;&gt;"",
    MATCH("~"&amp;Lista1[Código]&amp;"",Lista1[Código]&amp;"",0)),ROW(Lista1[Código])-ROW(Inicio!$A$9)+1),ROW(Lista1[Código])-ROW(Inicio!$A$9)+1),
      ROWS($A$5:A57))),""),"")</f>
        <v/>
      </c>
      <c r="B59" s="19" t="str">
        <f>IFERROR(VLOOKUP(A59,Lista1[],2,FALSE),"")</f>
        <v/>
      </c>
      <c r="C59" s="1" t="str">
        <f>IF(A59&lt;&gt;"",SUMIF(Lista1[Código],A59,Lista1[Qtd]),"")</f>
        <v/>
      </c>
      <c r="D59" s="1" t="str">
        <f t="shared" si="4"/>
        <v/>
      </c>
      <c r="E59" s="19" t="str">
        <f t="shared" si="1"/>
        <v xml:space="preserve"> </v>
      </c>
      <c r="G59" s="19" t="str">
        <f t="array" ref="G59">IFERROR(IF(ROWS($G$5:G57)&lt;=$G$5,INDEX(Lista2[Código],SMALL(IF(FREQUENCY(IF(Lista2[Código]&lt;&gt;"",
    MATCH("~"&amp;Lista2[Código]&amp;"",Lista2[Código]&amp;"",0)),ROW(Lista2[Código])-ROW(Inicio!$A$9)+1),ROW(Lista2[Código])-ROW(Inicio!$A$9)+1),
      ROWS($G$5:G57))),""),"")</f>
        <v/>
      </c>
      <c r="H59" s="19" t="str">
        <f>IFERROR(VLOOKUP(G59,Lista2[],2,FALSE),"")</f>
        <v/>
      </c>
      <c r="I59" s="1" t="str">
        <f>IF(G59&lt;&gt;"",SUMIF(Lista2[Código],G59,Lista2[Qtd]),"")</f>
        <v/>
      </c>
      <c r="J59" s="1" t="str">
        <f t="shared" si="2"/>
        <v/>
      </c>
      <c r="K59" s="19" t="str">
        <f t="shared" si="3"/>
        <v xml:space="preserve"> </v>
      </c>
    </row>
    <row r="60" spans="1:11" s="19" customFormat="1" x14ac:dyDescent="0.25">
      <c r="A60" s="19" t="str">
        <f t="array" ref="A60">IFERROR(IF(ROWS($A$5:A58)&lt;=$A$5,INDEX(Lista1[Código],SMALL(IF(FREQUENCY(IF(Lista1[Código]&lt;&gt;"",
    MATCH("~"&amp;Lista1[Código]&amp;"",Lista1[Código]&amp;"",0)),ROW(Lista1[Código])-ROW(Inicio!$A$9)+1),ROW(Lista1[Código])-ROW(Inicio!$A$9)+1),
      ROWS($A$5:A58))),""),"")</f>
        <v/>
      </c>
      <c r="B60" s="19" t="str">
        <f>IFERROR(VLOOKUP(A60,Lista1[],2,FALSE),"")</f>
        <v/>
      </c>
      <c r="C60" s="1" t="str">
        <f>IF(A60&lt;&gt;"",SUMIF(Lista1[Código],A60,Lista1[Qtd]),"")</f>
        <v/>
      </c>
      <c r="D60" s="1" t="str">
        <f t="shared" si="4"/>
        <v/>
      </c>
      <c r="E60" s="19" t="str">
        <f t="shared" si="1"/>
        <v xml:space="preserve"> </v>
      </c>
      <c r="G60" s="19" t="str">
        <f t="array" ref="G60">IFERROR(IF(ROWS($G$5:G58)&lt;=$G$5,INDEX(Lista2[Código],SMALL(IF(FREQUENCY(IF(Lista2[Código]&lt;&gt;"",
    MATCH("~"&amp;Lista2[Código]&amp;"",Lista2[Código]&amp;"",0)),ROW(Lista2[Código])-ROW(Inicio!$A$9)+1),ROW(Lista2[Código])-ROW(Inicio!$A$9)+1),
      ROWS($G$5:G58))),""),"")</f>
        <v/>
      </c>
      <c r="H60" s="19" t="str">
        <f>IFERROR(VLOOKUP(G60,Lista2[],2,FALSE),"")</f>
        <v/>
      </c>
      <c r="I60" s="1" t="str">
        <f>IF(G60&lt;&gt;"",SUMIF(Lista2[Código],G60,Lista2[Qtd]),"")</f>
        <v/>
      </c>
      <c r="J60" s="1" t="str">
        <f t="shared" si="2"/>
        <v/>
      </c>
      <c r="K60" s="19" t="str">
        <f t="shared" si="3"/>
        <v xml:space="preserve"> </v>
      </c>
    </row>
    <row r="61" spans="1:11" s="19" customFormat="1" x14ac:dyDescent="0.25">
      <c r="A61" s="19" t="str">
        <f t="array" ref="A61">IFERROR(IF(ROWS($A$5:A59)&lt;=$A$5,INDEX(Lista1[Código],SMALL(IF(FREQUENCY(IF(Lista1[Código]&lt;&gt;"",
    MATCH("~"&amp;Lista1[Código]&amp;"",Lista1[Código]&amp;"",0)),ROW(Lista1[Código])-ROW(Inicio!$A$9)+1),ROW(Lista1[Código])-ROW(Inicio!$A$9)+1),
      ROWS($A$5:A59))),""),"")</f>
        <v/>
      </c>
      <c r="B61" s="19" t="str">
        <f>IFERROR(VLOOKUP(A61,Lista1[],2,FALSE),"")</f>
        <v/>
      </c>
      <c r="C61" s="1" t="str">
        <f>IF(A61&lt;&gt;"",SUMIF(Lista1[Código],A61,Lista1[Qtd]),"")</f>
        <v/>
      </c>
      <c r="D61" s="1" t="str">
        <f t="shared" si="4"/>
        <v/>
      </c>
      <c r="E61" s="19" t="str">
        <f t="shared" si="1"/>
        <v xml:space="preserve"> </v>
      </c>
      <c r="G61" s="19" t="str">
        <f t="array" ref="G61">IFERROR(IF(ROWS($G$5:G59)&lt;=$G$5,INDEX(Lista2[Código],SMALL(IF(FREQUENCY(IF(Lista2[Código]&lt;&gt;"",
    MATCH("~"&amp;Lista2[Código]&amp;"",Lista2[Código]&amp;"",0)),ROW(Lista2[Código])-ROW(Inicio!$A$9)+1),ROW(Lista2[Código])-ROW(Inicio!$A$9)+1),
      ROWS($G$5:G59))),""),"")</f>
        <v/>
      </c>
      <c r="H61" s="19" t="str">
        <f>IFERROR(VLOOKUP(G61,Lista2[],2,FALSE),"")</f>
        <v/>
      </c>
      <c r="I61" s="1" t="str">
        <f>IF(G61&lt;&gt;"",SUMIF(Lista2[Código],G61,Lista2[Qtd]),"")</f>
        <v/>
      </c>
      <c r="J61" s="1" t="str">
        <f t="shared" si="2"/>
        <v/>
      </c>
      <c r="K61" s="19" t="str">
        <f t="shared" si="3"/>
        <v xml:space="preserve"> </v>
      </c>
    </row>
    <row r="62" spans="1:11" s="19" customFormat="1" x14ac:dyDescent="0.25">
      <c r="A62" s="19" t="str">
        <f t="array" ref="A62">IFERROR(IF(ROWS($A$5:A60)&lt;=$A$5,INDEX(Lista1[Código],SMALL(IF(FREQUENCY(IF(Lista1[Código]&lt;&gt;"",
    MATCH("~"&amp;Lista1[Código]&amp;"",Lista1[Código]&amp;"",0)),ROW(Lista1[Código])-ROW(Inicio!$A$9)+1),ROW(Lista1[Código])-ROW(Inicio!$A$9)+1),
      ROWS($A$5:A60))),""),"")</f>
        <v/>
      </c>
      <c r="B62" s="19" t="str">
        <f>IFERROR(VLOOKUP(A62,Lista1[],2,FALSE),"")</f>
        <v/>
      </c>
      <c r="C62" s="1" t="str">
        <f>IF(A62&lt;&gt;"",SUMIF(Lista1[Código],A62,Lista1[Qtd]),"")</f>
        <v/>
      </c>
      <c r="D62" s="1" t="str">
        <f t="shared" si="4"/>
        <v/>
      </c>
      <c r="E62" s="19" t="str">
        <f t="shared" si="1"/>
        <v xml:space="preserve"> </v>
      </c>
      <c r="G62" s="19" t="str">
        <f t="array" ref="G62">IFERROR(IF(ROWS($G$5:G60)&lt;=$G$5,INDEX(Lista2[Código],SMALL(IF(FREQUENCY(IF(Lista2[Código]&lt;&gt;"",
    MATCH("~"&amp;Lista2[Código]&amp;"",Lista2[Código]&amp;"",0)),ROW(Lista2[Código])-ROW(Inicio!$A$9)+1),ROW(Lista2[Código])-ROW(Inicio!$A$9)+1),
      ROWS($G$5:G60))),""),"")</f>
        <v/>
      </c>
      <c r="H62" s="19" t="str">
        <f>IFERROR(VLOOKUP(G62,Lista2[],2,FALSE),"")</f>
        <v/>
      </c>
      <c r="I62" s="1" t="str">
        <f>IF(G62&lt;&gt;"",SUMIF(Lista2[Código],G62,Lista2[Qtd]),"")</f>
        <v/>
      </c>
      <c r="J62" s="1" t="str">
        <f t="shared" si="2"/>
        <v/>
      </c>
      <c r="K62" s="19" t="str">
        <f t="shared" si="3"/>
        <v xml:space="preserve"> </v>
      </c>
    </row>
    <row r="63" spans="1:11" s="19" customFormat="1" x14ac:dyDescent="0.25">
      <c r="A63" s="19" t="str">
        <f t="array" ref="A63">IFERROR(IF(ROWS($A$5:A61)&lt;=$A$5,INDEX(Lista1[Código],SMALL(IF(FREQUENCY(IF(Lista1[Código]&lt;&gt;"",
    MATCH("~"&amp;Lista1[Código]&amp;"",Lista1[Código]&amp;"",0)),ROW(Lista1[Código])-ROW(Inicio!$A$9)+1),ROW(Lista1[Código])-ROW(Inicio!$A$9)+1),
      ROWS($A$5:A61))),""),"")</f>
        <v/>
      </c>
      <c r="B63" s="19" t="str">
        <f>IFERROR(VLOOKUP(A63,Lista1[],2,FALSE),"")</f>
        <v/>
      </c>
      <c r="C63" s="1" t="str">
        <f>IF(A63&lt;&gt;"",SUMIF(Lista1[Código],A63,Lista1[Qtd]),"")</f>
        <v/>
      </c>
      <c r="D63" s="1" t="str">
        <f t="shared" si="4"/>
        <v/>
      </c>
      <c r="E63" s="19" t="str">
        <f t="shared" si="1"/>
        <v xml:space="preserve"> </v>
      </c>
      <c r="G63" s="19" t="str">
        <f t="array" ref="G63">IFERROR(IF(ROWS($G$5:G61)&lt;=$G$5,INDEX(Lista2[Código],SMALL(IF(FREQUENCY(IF(Lista2[Código]&lt;&gt;"",
    MATCH("~"&amp;Lista2[Código]&amp;"",Lista2[Código]&amp;"",0)),ROW(Lista2[Código])-ROW(Inicio!$A$9)+1),ROW(Lista2[Código])-ROW(Inicio!$A$9)+1),
      ROWS($G$5:G61))),""),"")</f>
        <v/>
      </c>
      <c r="H63" s="19" t="str">
        <f>IFERROR(VLOOKUP(G63,Lista2[],2,FALSE),"")</f>
        <v/>
      </c>
      <c r="I63" s="1" t="str">
        <f>IF(G63&lt;&gt;"",SUMIF(Lista2[Código],G63,Lista2[Qtd]),"")</f>
        <v/>
      </c>
      <c r="J63" s="1" t="str">
        <f t="shared" si="2"/>
        <v/>
      </c>
      <c r="K63" s="19" t="str">
        <f t="shared" si="3"/>
        <v xml:space="preserve"> </v>
      </c>
    </row>
    <row r="64" spans="1:11" s="19" customFormat="1" x14ac:dyDescent="0.25">
      <c r="A64" s="19" t="str">
        <f t="array" ref="A64">IFERROR(IF(ROWS($A$5:A62)&lt;=$A$5,INDEX(Lista1[Código],SMALL(IF(FREQUENCY(IF(Lista1[Código]&lt;&gt;"",
    MATCH("~"&amp;Lista1[Código]&amp;"",Lista1[Código]&amp;"",0)),ROW(Lista1[Código])-ROW(Inicio!$A$9)+1),ROW(Lista1[Código])-ROW(Inicio!$A$9)+1),
      ROWS($A$5:A62))),""),"")</f>
        <v/>
      </c>
      <c r="B64" s="19" t="str">
        <f>IFERROR(VLOOKUP(A64,Lista1[],2,FALSE),"")</f>
        <v/>
      </c>
      <c r="C64" s="1" t="str">
        <f>IF(A64&lt;&gt;"",SUMIF(Lista1[Código],A64,Lista1[Qtd]),"")</f>
        <v/>
      </c>
      <c r="D64" s="1" t="str">
        <f t="shared" si="4"/>
        <v/>
      </c>
      <c r="E64" s="19" t="str">
        <f t="shared" si="1"/>
        <v xml:space="preserve"> </v>
      </c>
      <c r="G64" s="19" t="str">
        <f t="array" ref="G64">IFERROR(IF(ROWS($G$5:G62)&lt;=$G$5,INDEX(Lista2[Código],SMALL(IF(FREQUENCY(IF(Lista2[Código]&lt;&gt;"",
    MATCH("~"&amp;Lista2[Código]&amp;"",Lista2[Código]&amp;"",0)),ROW(Lista2[Código])-ROW(Inicio!$A$9)+1),ROW(Lista2[Código])-ROW(Inicio!$A$9)+1),
      ROWS($G$5:G62))),""),"")</f>
        <v/>
      </c>
      <c r="H64" s="19" t="str">
        <f>IFERROR(VLOOKUP(G64,Lista2[],2,FALSE),"")</f>
        <v/>
      </c>
      <c r="I64" s="1" t="str">
        <f>IF(G64&lt;&gt;"",SUMIF(Lista2[Código],G64,Lista2[Qtd]),"")</f>
        <v/>
      </c>
      <c r="J64" s="1" t="str">
        <f t="shared" si="2"/>
        <v/>
      </c>
      <c r="K64" s="19" t="str">
        <f t="shared" si="3"/>
        <v xml:space="preserve"> </v>
      </c>
    </row>
    <row r="65" spans="1:11" s="19" customFormat="1" x14ac:dyDescent="0.25">
      <c r="A65" s="19" t="str">
        <f t="array" ref="A65">IFERROR(IF(ROWS($A$5:A63)&lt;=$A$5,INDEX(Lista1[Código],SMALL(IF(FREQUENCY(IF(Lista1[Código]&lt;&gt;"",
    MATCH("~"&amp;Lista1[Código]&amp;"",Lista1[Código]&amp;"",0)),ROW(Lista1[Código])-ROW(Inicio!$A$9)+1),ROW(Lista1[Código])-ROW(Inicio!$A$9)+1),
      ROWS($A$5:A63))),""),"")</f>
        <v/>
      </c>
      <c r="B65" s="19" t="str">
        <f>IFERROR(VLOOKUP(A65,Lista1[],2,FALSE),"")</f>
        <v/>
      </c>
      <c r="C65" s="1" t="str">
        <f>IF(A65&lt;&gt;"",SUMIF(Lista1[Código],A65,Lista1[Qtd]),"")</f>
        <v/>
      </c>
      <c r="D65" s="1" t="str">
        <f t="shared" si="4"/>
        <v/>
      </c>
      <c r="E65" s="19" t="str">
        <f t="shared" si="1"/>
        <v xml:space="preserve"> </v>
      </c>
      <c r="G65" s="19" t="str">
        <f t="array" ref="G65">IFERROR(IF(ROWS($G$5:G63)&lt;=$G$5,INDEX(Lista2[Código],SMALL(IF(FREQUENCY(IF(Lista2[Código]&lt;&gt;"",
    MATCH("~"&amp;Lista2[Código]&amp;"",Lista2[Código]&amp;"",0)),ROW(Lista2[Código])-ROW(Inicio!$A$9)+1),ROW(Lista2[Código])-ROW(Inicio!$A$9)+1),
      ROWS($G$5:G63))),""),"")</f>
        <v/>
      </c>
      <c r="H65" s="19" t="str">
        <f>IFERROR(VLOOKUP(G65,Lista2[],2,FALSE),"")</f>
        <v/>
      </c>
      <c r="I65" s="1" t="str">
        <f>IF(G65&lt;&gt;"",SUMIF(Lista2[Código],G65,Lista2[Qtd]),"")</f>
        <v/>
      </c>
      <c r="J65" s="1" t="str">
        <f t="shared" si="2"/>
        <v/>
      </c>
      <c r="K65" s="19" t="str">
        <f t="shared" si="3"/>
        <v xml:space="preserve"> </v>
      </c>
    </row>
    <row r="66" spans="1:11" s="19" customFormat="1" x14ac:dyDescent="0.25">
      <c r="A66" s="19" t="str">
        <f t="array" ref="A66">IFERROR(IF(ROWS($A$5:A64)&lt;=$A$5,INDEX(Lista1[Código],SMALL(IF(FREQUENCY(IF(Lista1[Código]&lt;&gt;"",
    MATCH("~"&amp;Lista1[Código]&amp;"",Lista1[Código]&amp;"",0)),ROW(Lista1[Código])-ROW(Inicio!$A$9)+1),ROW(Lista1[Código])-ROW(Inicio!$A$9)+1),
      ROWS($A$5:A64))),""),"")</f>
        <v/>
      </c>
      <c r="B66" s="19" t="str">
        <f>IFERROR(VLOOKUP(A66,Lista1[],2,FALSE),"")</f>
        <v/>
      </c>
      <c r="C66" s="1" t="str">
        <f>IF(A66&lt;&gt;"",SUMIF(Lista1[Código],A66,Lista1[Qtd]),"")</f>
        <v/>
      </c>
      <c r="D66" s="1" t="str">
        <f t="shared" si="4"/>
        <v/>
      </c>
      <c r="E66" s="19" t="str">
        <f t="shared" si="1"/>
        <v xml:space="preserve"> </v>
      </c>
      <c r="G66" s="19" t="str">
        <f t="array" ref="G66">IFERROR(IF(ROWS($G$5:G64)&lt;=$G$5,INDEX(Lista2[Código],SMALL(IF(FREQUENCY(IF(Lista2[Código]&lt;&gt;"",
    MATCH("~"&amp;Lista2[Código]&amp;"",Lista2[Código]&amp;"",0)),ROW(Lista2[Código])-ROW(Inicio!$A$9)+1),ROW(Lista2[Código])-ROW(Inicio!$A$9)+1),
      ROWS($G$5:G64))),""),"")</f>
        <v/>
      </c>
      <c r="H66" s="19" t="str">
        <f>IFERROR(VLOOKUP(G66,Lista2[],2,FALSE),"")</f>
        <v/>
      </c>
      <c r="I66" s="1" t="str">
        <f>IF(G66&lt;&gt;"",SUMIF(Lista2[Código],G66,Lista2[Qtd]),"")</f>
        <v/>
      </c>
      <c r="J66" s="1" t="str">
        <f t="shared" si="2"/>
        <v/>
      </c>
      <c r="K66" s="19" t="str">
        <f t="shared" si="3"/>
        <v xml:space="preserve"> </v>
      </c>
    </row>
    <row r="67" spans="1:11" s="19" customFormat="1" x14ac:dyDescent="0.25">
      <c r="A67" s="19" t="str">
        <f t="array" ref="A67">IFERROR(IF(ROWS($A$5:A65)&lt;=$A$5,INDEX(Lista1[Código],SMALL(IF(FREQUENCY(IF(Lista1[Código]&lt;&gt;"",
    MATCH("~"&amp;Lista1[Código]&amp;"",Lista1[Código]&amp;"",0)),ROW(Lista1[Código])-ROW(Inicio!$A$9)+1),ROW(Lista1[Código])-ROW(Inicio!$A$9)+1),
      ROWS($A$5:A65))),""),"")</f>
        <v/>
      </c>
      <c r="B67" s="19" t="str">
        <f>IFERROR(VLOOKUP(A67,Lista1[],2,FALSE),"")</f>
        <v/>
      </c>
      <c r="C67" s="1" t="str">
        <f>IF(A67&lt;&gt;"",SUMIF(Lista1[Código],A67,Lista1[Qtd]),"")</f>
        <v/>
      </c>
      <c r="D67" s="1" t="str">
        <f t="shared" si="4"/>
        <v/>
      </c>
      <c r="E67" s="19" t="str">
        <f t="shared" si="1"/>
        <v xml:space="preserve"> </v>
      </c>
      <c r="G67" s="19" t="str">
        <f t="array" ref="G67">IFERROR(IF(ROWS($G$5:G65)&lt;=$G$5,INDEX(Lista2[Código],SMALL(IF(FREQUENCY(IF(Lista2[Código]&lt;&gt;"",
    MATCH("~"&amp;Lista2[Código]&amp;"",Lista2[Código]&amp;"",0)),ROW(Lista2[Código])-ROW(Inicio!$A$9)+1),ROW(Lista2[Código])-ROW(Inicio!$A$9)+1),
      ROWS($G$5:G65))),""),"")</f>
        <v/>
      </c>
      <c r="H67" s="19" t="str">
        <f>IFERROR(VLOOKUP(G67,Lista2[],2,FALSE),"")</f>
        <v/>
      </c>
      <c r="I67" s="1" t="str">
        <f>IF(G67&lt;&gt;"",SUMIF(Lista2[Código],G67,Lista2[Qtd]),"")</f>
        <v/>
      </c>
      <c r="J67" s="1" t="str">
        <f t="shared" si="2"/>
        <v/>
      </c>
      <c r="K67" s="19" t="str">
        <f t="shared" si="3"/>
        <v xml:space="preserve"> </v>
      </c>
    </row>
    <row r="68" spans="1:11" s="19" customFormat="1" x14ac:dyDescent="0.25">
      <c r="A68" s="19" t="str">
        <f t="array" ref="A68">IFERROR(IF(ROWS($A$5:A66)&lt;=$A$5,INDEX(Lista1[Código],SMALL(IF(FREQUENCY(IF(Lista1[Código]&lt;&gt;"",
    MATCH("~"&amp;Lista1[Código]&amp;"",Lista1[Código]&amp;"",0)),ROW(Lista1[Código])-ROW(Inicio!$A$9)+1),ROW(Lista1[Código])-ROW(Inicio!$A$9)+1),
      ROWS($A$5:A66))),""),"")</f>
        <v/>
      </c>
      <c r="B68" s="19" t="str">
        <f>IFERROR(VLOOKUP(A68,Lista1[],2,FALSE),"")</f>
        <v/>
      </c>
      <c r="C68" s="1" t="str">
        <f>IF(A68&lt;&gt;"",SUMIF(Lista1[Código],A68,Lista1[Qtd]),"")</f>
        <v/>
      </c>
      <c r="D68" s="1" t="str">
        <f t="shared" si="4"/>
        <v/>
      </c>
      <c r="E68" s="19" t="str">
        <f t="shared" si="1"/>
        <v xml:space="preserve"> </v>
      </c>
      <c r="G68" s="19" t="str">
        <f t="array" ref="G68">IFERROR(IF(ROWS($G$5:G66)&lt;=$G$5,INDEX(Lista2[Código],SMALL(IF(FREQUENCY(IF(Lista2[Código]&lt;&gt;"",
    MATCH("~"&amp;Lista2[Código]&amp;"",Lista2[Código]&amp;"",0)),ROW(Lista2[Código])-ROW(Inicio!$A$9)+1),ROW(Lista2[Código])-ROW(Inicio!$A$9)+1),
      ROWS($G$5:G66))),""),"")</f>
        <v/>
      </c>
      <c r="H68" s="19" t="str">
        <f>IFERROR(VLOOKUP(G68,Lista2[],2,FALSE),"")</f>
        <v/>
      </c>
      <c r="I68" s="1" t="str">
        <f>IF(G68&lt;&gt;"",SUMIF(Lista2[Código],G68,Lista2[Qtd]),"")</f>
        <v/>
      </c>
      <c r="J68" s="1" t="str">
        <f t="shared" si="2"/>
        <v/>
      </c>
      <c r="K68" s="19" t="str">
        <f t="shared" si="3"/>
        <v xml:space="preserve"> </v>
      </c>
    </row>
    <row r="69" spans="1:11" s="19" customFormat="1" x14ac:dyDescent="0.25">
      <c r="A69" s="19" t="str">
        <f t="array" ref="A69">IFERROR(IF(ROWS($A$5:A67)&lt;=$A$5,INDEX(Lista1[Código],SMALL(IF(FREQUENCY(IF(Lista1[Código]&lt;&gt;"",
    MATCH("~"&amp;Lista1[Código]&amp;"",Lista1[Código]&amp;"",0)),ROW(Lista1[Código])-ROW(Inicio!$A$9)+1),ROW(Lista1[Código])-ROW(Inicio!$A$9)+1),
      ROWS($A$5:A67))),""),"")</f>
        <v/>
      </c>
      <c r="B69" s="19" t="str">
        <f>IFERROR(VLOOKUP(A69,Lista1[],2,FALSE),"")</f>
        <v/>
      </c>
      <c r="C69" s="1" t="str">
        <f>IF(A69&lt;&gt;"",SUMIF(Lista1[Código],A69,Lista1[Qtd]),"")</f>
        <v/>
      </c>
      <c r="D69" s="1" t="str">
        <f t="shared" si="4"/>
        <v/>
      </c>
      <c r="E69" s="19" t="str">
        <f t="shared" si="1"/>
        <v xml:space="preserve"> </v>
      </c>
      <c r="G69" s="19" t="str">
        <f t="array" ref="G69">IFERROR(IF(ROWS($G$5:G67)&lt;=$G$5,INDEX(Lista2[Código],SMALL(IF(FREQUENCY(IF(Lista2[Código]&lt;&gt;"",
    MATCH("~"&amp;Lista2[Código]&amp;"",Lista2[Código]&amp;"",0)),ROW(Lista2[Código])-ROW(Inicio!$A$9)+1),ROW(Lista2[Código])-ROW(Inicio!$A$9)+1),
      ROWS($G$5:G67))),""),"")</f>
        <v/>
      </c>
      <c r="H69" s="19" t="str">
        <f>IFERROR(VLOOKUP(G69,Lista2[],2,FALSE),"")</f>
        <v/>
      </c>
      <c r="I69" s="1" t="str">
        <f>IF(G69&lt;&gt;"",SUMIF(Lista2[Código],G69,Lista2[Qtd]),"")</f>
        <v/>
      </c>
      <c r="J69" s="1" t="str">
        <f t="shared" si="2"/>
        <v/>
      </c>
      <c r="K69" s="19" t="str">
        <f t="shared" si="3"/>
        <v xml:space="preserve"> </v>
      </c>
    </row>
    <row r="70" spans="1:11" s="19" customFormat="1" x14ac:dyDescent="0.25">
      <c r="A70" s="19" t="str">
        <f t="array" ref="A70">IFERROR(IF(ROWS($A$5:A68)&lt;=$A$5,INDEX(Lista1[Código],SMALL(IF(FREQUENCY(IF(Lista1[Código]&lt;&gt;"",
    MATCH("~"&amp;Lista1[Código]&amp;"",Lista1[Código]&amp;"",0)),ROW(Lista1[Código])-ROW(Inicio!$A$9)+1),ROW(Lista1[Código])-ROW(Inicio!$A$9)+1),
      ROWS($A$5:A68))),""),"")</f>
        <v/>
      </c>
      <c r="B70" s="19" t="str">
        <f>IFERROR(VLOOKUP(A70,Lista1[],2,FALSE),"")</f>
        <v/>
      </c>
      <c r="C70" s="1" t="str">
        <f>IF(A70&lt;&gt;"",SUMIF(Lista1[Código],A70,Lista1[Qtd]),"")</f>
        <v/>
      </c>
      <c r="D70" s="1" t="str">
        <f t="shared" si="4"/>
        <v/>
      </c>
      <c r="E70" s="19" t="str">
        <f t="shared" si="1"/>
        <v xml:space="preserve"> </v>
      </c>
      <c r="G70" s="19" t="str">
        <f t="array" ref="G70">IFERROR(IF(ROWS($G$5:G68)&lt;=$G$5,INDEX(Lista2[Código],SMALL(IF(FREQUENCY(IF(Lista2[Código]&lt;&gt;"",
    MATCH("~"&amp;Lista2[Código]&amp;"",Lista2[Código]&amp;"",0)),ROW(Lista2[Código])-ROW(Inicio!$A$9)+1),ROW(Lista2[Código])-ROW(Inicio!$A$9)+1),
      ROWS($G$5:G68))),""),"")</f>
        <v/>
      </c>
      <c r="H70" s="19" t="str">
        <f>IFERROR(VLOOKUP(G70,Lista2[],2,FALSE),"")</f>
        <v/>
      </c>
      <c r="I70" s="1" t="str">
        <f>IF(G70&lt;&gt;"",SUMIF(Lista2[Código],G70,Lista2[Qtd]),"")</f>
        <v/>
      </c>
      <c r="J70" s="1" t="str">
        <f t="shared" si="2"/>
        <v/>
      </c>
      <c r="K70" s="19" t="str">
        <f t="shared" si="3"/>
        <v xml:space="preserve"> </v>
      </c>
    </row>
    <row r="71" spans="1:11" s="19" customFormat="1" x14ac:dyDescent="0.25">
      <c r="A71" s="19" t="str">
        <f t="array" ref="A71">IFERROR(IF(ROWS($A$5:A69)&lt;=$A$5,INDEX(Lista1[Código],SMALL(IF(FREQUENCY(IF(Lista1[Código]&lt;&gt;"",
    MATCH("~"&amp;Lista1[Código]&amp;"",Lista1[Código]&amp;"",0)),ROW(Lista1[Código])-ROW(Inicio!$A$9)+1),ROW(Lista1[Código])-ROW(Inicio!$A$9)+1),
      ROWS($A$5:A69))),""),"")</f>
        <v/>
      </c>
      <c r="B71" s="19" t="str">
        <f>IFERROR(VLOOKUP(A71,Lista1[],2,FALSE),"")</f>
        <v/>
      </c>
      <c r="C71" s="1" t="str">
        <f>IF(A71&lt;&gt;"",SUMIF(Lista1[Código],A71,Lista1[Qtd]),"")</f>
        <v/>
      </c>
      <c r="D71" s="1" t="str">
        <f t="shared" ref="D71:D102" si="5">IF(A71="","",IFERROR(INDEX($G$7:$I$200,MATCH(A71,$G$7:$G$200,0),3),0))</f>
        <v/>
      </c>
      <c r="E71" s="19" t="str">
        <f t="shared" si="1"/>
        <v xml:space="preserve"> </v>
      </c>
      <c r="G71" s="19" t="str">
        <f t="array" ref="G71">IFERROR(IF(ROWS($G$5:G69)&lt;=$G$5,INDEX(Lista2[Código],SMALL(IF(FREQUENCY(IF(Lista2[Código]&lt;&gt;"",
    MATCH("~"&amp;Lista2[Código]&amp;"",Lista2[Código]&amp;"",0)),ROW(Lista2[Código])-ROW(Inicio!$A$9)+1),ROW(Lista2[Código])-ROW(Inicio!$A$9)+1),
      ROWS($G$5:G69))),""),"")</f>
        <v/>
      </c>
      <c r="H71" s="19" t="str">
        <f>IFERROR(VLOOKUP(G71,Lista2[],2,FALSE),"")</f>
        <v/>
      </c>
      <c r="I71" s="1" t="str">
        <f>IF(G71&lt;&gt;"",SUMIF(Lista2[Código],G71,Lista2[Qtd]),"")</f>
        <v/>
      </c>
      <c r="J71" s="1" t="str">
        <f t="shared" si="2"/>
        <v/>
      </c>
      <c r="K71" s="19" t="str">
        <f t="shared" si="3"/>
        <v xml:space="preserve"> </v>
      </c>
    </row>
    <row r="72" spans="1:11" s="19" customFormat="1" x14ac:dyDescent="0.25">
      <c r="A72" s="19" t="str">
        <f t="array" ref="A72">IFERROR(IF(ROWS($A$5:A70)&lt;=$A$5,INDEX(Lista1[Código],SMALL(IF(FREQUENCY(IF(Lista1[Código]&lt;&gt;"",
    MATCH("~"&amp;Lista1[Código]&amp;"",Lista1[Código]&amp;"",0)),ROW(Lista1[Código])-ROW(Inicio!$A$9)+1),ROW(Lista1[Código])-ROW(Inicio!$A$9)+1),
      ROWS($A$5:A70))),""),"")</f>
        <v/>
      </c>
      <c r="B72" s="19" t="str">
        <f>IFERROR(VLOOKUP(A72,Lista1[],2,FALSE),"")</f>
        <v/>
      </c>
      <c r="C72" s="1" t="str">
        <f>IF(A72&lt;&gt;"",SUMIF(Lista1[Código],A72,Lista1[Qtd]),"")</f>
        <v/>
      </c>
      <c r="D72" s="1" t="str">
        <f t="shared" si="5"/>
        <v/>
      </c>
      <c r="E72" s="19" t="str">
        <f t="shared" ref="E72:E135" si="6">IF(C72=""," ",IF(D72=0,"u",IF((C72-D72)=0,"i",IF((C72-D72)&gt;0,"ma","me"))))</f>
        <v xml:space="preserve"> </v>
      </c>
      <c r="G72" s="19" t="str">
        <f t="array" ref="G72">IFERROR(IF(ROWS($G$5:G70)&lt;=$G$5,INDEX(Lista2[Código],SMALL(IF(FREQUENCY(IF(Lista2[Código]&lt;&gt;"",
    MATCH("~"&amp;Lista2[Código]&amp;"",Lista2[Código]&amp;"",0)),ROW(Lista2[Código])-ROW(Inicio!$A$9)+1),ROW(Lista2[Código])-ROW(Inicio!$A$9)+1),
      ROWS($G$5:G70))),""),"")</f>
        <v/>
      </c>
      <c r="H72" s="19" t="str">
        <f>IFERROR(VLOOKUP(G72,Lista2[],2,FALSE),"")</f>
        <v/>
      </c>
      <c r="I72" s="1" t="str">
        <f>IF(G72&lt;&gt;"",SUMIF(Lista2[Código],G72,Lista2[Qtd]),"")</f>
        <v/>
      </c>
      <c r="J72" s="1" t="str">
        <f t="shared" ref="J72:J135" si="7">IF(G72="","",IFERROR(INDEX($A$7:$C$200,MATCH(G72,$A$7:$A$200,0),3),0))</f>
        <v/>
      </c>
      <c r="K72" s="19" t="str">
        <f t="shared" ref="K72:K135" si="8">IF(I72=""," ",IF(J72=0,"u",IF((I72-J72)=0,"i",IF((I72-J72)&gt;0,"ma","me"))))</f>
        <v xml:space="preserve"> </v>
      </c>
    </row>
    <row r="73" spans="1:11" s="19" customFormat="1" x14ac:dyDescent="0.25">
      <c r="A73" s="19" t="str">
        <f t="array" ref="A73">IFERROR(IF(ROWS($A$5:A71)&lt;=$A$5,INDEX(Lista1[Código],SMALL(IF(FREQUENCY(IF(Lista1[Código]&lt;&gt;"",
    MATCH("~"&amp;Lista1[Código]&amp;"",Lista1[Código]&amp;"",0)),ROW(Lista1[Código])-ROW(Inicio!$A$9)+1),ROW(Lista1[Código])-ROW(Inicio!$A$9)+1),
      ROWS($A$5:A71))),""),"")</f>
        <v/>
      </c>
      <c r="B73" s="19" t="str">
        <f>IFERROR(VLOOKUP(A73,Lista1[],2,FALSE),"")</f>
        <v/>
      </c>
      <c r="C73" s="1" t="str">
        <f>IF(A73&lt;&gt;"",SUMIF(Lista1[Código],A73,Lista1[Qtd]),"")</f>
        <v/>
      </c>
      <c r="D73" s="1" t="str">
        <f t="shared" si="5"/>
        <v/>
      </c>
      <c r="E73" s="19" t="str">
        <f t="shared" si="6"/>
        <v xml:space="preserve"> </v>
      </c>
      <c r="G73" s="19" t="str">
        <f t="array" ref="G73">IFERROR(IF(ROWS($G$5:G71)&lt;=$G$5,INDEX(Lista2[Código],SMALL(IF(FREQUENCY(IF(Lista2[Código]&lt;&gt;"",
    MATCH("~"&amp;Lista2[Código]&amp;"",Lista2[Código]&amp;"",0)),ROW(Lista2[Código])-ROW(Inicio!$A$9)+1),ROW(Lista2[Código])-ROW(Inicio!$A$9)+1),
      ROWS($G$5:G71))),""),"")</f>
        <v/>
      </c>
      <c r="H73" s="19" t="str">
        <f>IFERROR(VLOOKUP(G73,Lista2[],2,FALSE),"")</f>
        <v/>
      </c>
      <c r="I73" s="1" t="str">
        <f>IF(G73&lt;&gt;"",SUMIF(Lista2[Código],G73,Lista2[Qtd]),"")</f>
        <v/>
      </c>
      <c r="J73" s="1" t="str">
        <f t="shared" si="7"/>
        <v/>
      </c>
      <c r="K73" s="19" t="str">
        <f t="shared" si="8"/>
        <v xml:space="preserve"> </v>
      </c>
    </row>
    <row r="74" spans="1:11" s="19" customFormat="1" x14ac:dyDescent="0.25">
      <c r="A74" s="19" t="str">
        <f t="array" ref="A74">IFERROR(IF(ROWS($A$5:A72)&lt;=$A$5,INDEX(Lista1[Código],SMALL(IF(FREQUENCY(IF(Lista1[Código]&lt;&gt;"",
    MATCH("~"&amp;Lista1[Código]&amp;"",Lista1[Código]&amp;"",0)),ROW(Lista1[Código])-ROW(Inicio!$A$9)+1),ROW(Lista1[Código])-ROW(Inicio!$A$9)+1),
      ROWS($A$5:A72))),""),"")</f>
        <v/>
      </c>
      <c r="B74" s="19" t="str">
        <f>IFERROR(VLOOKUP(A74,Lista1[],2,FALSE),"")</f>
        <v/>
      </c>
      <c r="C74" s="1" t="str">
        <f>IF(A74&lt;&gt;"",SUMIF(Lista1[Código],A74,Lista1[Qtd]),"")</f>
        <v/>
      </c>
      <c r="D74" s="1" t="str">
        <f t="shared" si="5"/>
        <v/>
      </c>
      <c r="E74" s="19" t="str">
        <f t="shared" si="6"/>
        <v xml:space="preserve"> </v>
      </c>
      <c r="G74" s="19" t="str">
        <f t="array" ref="G74">IFERROR(IF(ROWS($G$5:G72)&lt;=$G$5,INDEX(Lista2[Código],SMALL(IF(FREQUENCY(IF(Lista2[Código]&lt;&gt;"",
    MATCH("~"&amp;Lista2[Código]&amp;"",Lista2[Código]&amp;"",0)),ROW(Lista2[Código])-ROW(Inicio!$A$9)+1),ROW(Lista2[Código])-ROW(Inicio!$A$9)+1),
      ROWS($G$5:G72))),""),"")</f>
        <v/>
      </c>
      <c r="H74" s="19" t="str">
        <f>IFERROR(VLOOKUP(G74,Lista2[],2,FALSE),"")</f>
        <v/>
      </c>
      <c r="I74" s="1" t="str">
        <f>IF(G74&lt;&gt;"",SUMIF(Lista2[Código],G74,Lista2[Qtd]),"")</f>
        <v/>
      </c>
      <c r="J74" s="1" t="str">
        <f t="shared" si="7"/>
        <v/>
      </c>
      <c r="K74" s="19" t="str">
        <f t="shared" si="8"/>
        <v xml:space="preserve"> </v>
      </c>
    </row>
    <row r="75" spans="1:11" s="19" customFormat="1" x14ac:dyDescent="0.25">
      <c r="A75" s="19" t="str">
        <f t="array" ref="A75">IFERROR(IF(ROWS($A$5:A73)&lt;=$A$5,INDEX(Lista1[Código],SMALL(IF(FREQUENCY(IF(Lista1[Código]&lt;&gt;"",
    MATCH("~"&amp;Lista1[Código]&amp;"",Lista1[Código]&amp;"",0)),ROW(Lista1[Código])-ROW(Inicio!$A$9)+1),ROW(Lista1[Código])-ROW(Inicio!$A$9)+1),
      ROWS($A$5:A73))),""),"")</f>
        <v/>
      </c>
      <c r="B75" s="19" t="str">
        <f>IFERROR(VLOOKUP(A75,Lista1[],2,FALSE),"")</f>
        <v/>
      </c>
      <c r="C75" s="1" t="str">
        <f>IF(A75&lt;&gt;"",SUMIF(Lista1[Código],A75,Lista1[Qtd]),"")</f>
        <v/>
      </c>
      <c r="D75" s="1" t="str">
        <f t="shared" si="5"/>
        <v/>
      </c>
      <c r="E75" s="19" t="str">
        <f t="shared" si="6"/>
        <v xml:space="preserve"> </v>
      </c>
      <c r="G75" s="19" t="str">
        <f t="array" ref="G75">IFERROR(IF(ROWS($G$5:G73)&lt;=$G$5,INDEX(Lista2[Código],SMALL(IF(FREQUENCY(IF(Lista2[Código]&lt;&gt;"",
    MATCH("~"&amp;Lista2[Código]&amp;"",Lista2[Código]&amp;"",0)),ROW(Lista2[Código])-ROW(Inicio!$A$9)+1),ROW(Lista2[Código])-ROW(Inicio!$A$9)+1),
      ROWS($G$5:G73))),""),"")</f>
        <v/>
      </c>
      <c r="H75" s="19" t="str">
        <f>IFERROR(VLOOKUP(G75,Lista2[],2,FALSE),"")</f>
        <v/>
      </c>
      <c r="I75" s="1" t="str">
        <f>IF(G75&lt;&gt;"",SUMIF(Lista2[Código],G75,Lista2[Qtd]),"")</f>
        <v/>
      </c>
      <c r="J75" s="1" t="str">
        <f t="shared" si="7"/>
        <v/>
      </c>
      <c r="K75" s="19" t="str">
        <f t="shared" si="8"/>
        <v xml:space="preserve"> </v>
      </c>
    </row>
    <row r="76" spans="1:11" s="19" customFormat="1" x14ac:dyDescent="0.25">
      <c r="A76" s="19" t="str">
        <f t="array" ref="A76">IFERROR(IF(ROWS($A$5:A74)&lt;=$A$5,INDEX(Lista1[Código],SMALL(IF(FREQUENCY(IF(Lista1[Código]&lt;&gt;"",
    MATCH("~"&amp;Lista1[Código]&amp;"",Lista1[Código]&amp;"",0)),ROW(Lista1[Código])-ROW(Inicio!$A$9)+1),ROW(Lista1[Código])-ROW(Inicio!$A$9)+1),
      ROWS($A$5:A74))),""),"")</f>
        <v/>
      </c>
      <c r="B76" s="19" t="str">
        <f>IFERROR(VLOOKUP(A76,Lista1[],2,FALSE),"")</f>
        <v/>
      </c>
      <c r="C76" s="1" t="str">
        <f>IF(A76&lt;&gt;"",SUMIF(Lista1[Código],A76,Lista1[Qtd]),"")</f>
        <v/>
      </c>
      <c r="D76" s="1" t="str">
        <f t="shared" si="5"/>
        <v/>
      </c>
      <c r="E76" s="19" t="str">
        <f t="shared" si="6"/>
        <v xml:space="preserve"> </v>
      </c>
      <c r="G76" s="19" t="str">
        <f t="array" ref="G76">IFERROR(IF(ROWS($G$5:G74)&lt;=$G$5,INDEX(Lista2[Código],SMALL(IF(FREQUENCY(IF(Lista2[Código]&lt;&gt;"",
    MATCH("~"&amp;Lista2[Código]&amp;"",Lista2[Código]&amp;"",0)),ROW(Lista2[Código])-ROW(Inicio!$A$9)+1),ROW(Lista2[Código])-ROW(Inicio!$A$9)+1),
      ROWS($G$5:G74))),""),"")</f>
        <v/>
      </c>
      <c r="H76" s="19" t="str">
        <f>IFERROR(VLOOKUP(G76,Lista2[],2,FALSE),"")</f>
        <v/>
      </c>
      <c r="I76" s="1" t="str">
        <f>IF(G76&lt;&gt;"",SUMIF(Lista2[Código],G76,Lista2[Qtd]),"")</f>
        <v/>
      </c>
      <c r="J76" s="1" t="str">
        <f t="shared" si="7"/>
        <v/>
      </c>
      <c r="K76" s="19" t="str">
        <f t="shared" si="8"/>
        <v xml:space="preserve"> </v>
      </c>
    </row>
    <row r="77" spans="1:11" s="19" customFormat="1" x14ac:dyDescent="0.25">
      <c r="A77" s="19" t="str">
        <f t="array" ref="A77">IFERROR(IF(ROWS($A$5:A75)&lt;=$A$5,INDEX(Lista1[Código],SMALL(IF(FREQUENCY(IF(Lista1[Código]&lt;&gt;"",
    MATCH("~"&amp;Lista1[Código]&amp;"",Lista1[Código]&amp;"",0)),ROW(Lista1[Código])-ROW(Inicio!$A$9)+1),ROW(Lista1[Código])-ROW(Inicio!$A$9)+1),
      ROWS($A$5:A75))),""),"")</f>
        <v/>
      </c>
      <c r="B77" s="19" t="str">
        <f>IFERROR(VLOOKUP(A77,Lista1[],2,FALSE),"")</f>
        <v/>
      </c>
      <c r="C77" s="1" t="str">
        <f>IF(A77&lt;&gt;"",SUMIF(Lista1[Código],A77,Lista1[Qtd]),"")</f>
        <v/>
      </c>
      <c r="D77" s="1" t="str">
        <f t="shared" si="5"/>
        <v/>
      </c>
      <c r="E77" s="19" t="str">
        <f t="shared" si="6"/>
        <v xml:space="preserve"> </v>
      </c>
      <c r="G77" s="19" t="str">
        <f t="array" ref="G77">IFERROR(IF(ROWS($G$5:G75)&lt;=$G$5,INDEX(Lista2[Código],SMALL(IF(FREQUENCY(IF(Lista2[Código]&lt;&gt;"",
    MATCH("~"&amp;Lista2[Código]&amp;"",Lista2[Código]&amp;"",0)),ROW(Lista2[Código])-ROW(Inicio!$A$9)+1),ROW(Lista2[Código])-ROW(Inicio!$A$9)+1),
      ROWS($G$5:G75))),""),"")</f>
        <v/>
      </c>
      <c r="H77" s="19" t="str">
        <f>IFERROR(VLOOKUP(G77,Lista2[],2,FALSE),"")</f>
        <v/>
      </c>
      <c r="I77" s="1" t="str">
        <f>IF(G77&lt;&gt;"",SUMIF(Lista2[Código],G77,Lista2[Qtd]),"")</f>
        <v/>
      </c>
      <c r="J77" s="1" t="str">
        <f t="shared" si="7"/>
        <v/>
      </c>
      <c r="K77" s="19" t="str">
        <f t="shared" si="8"/>
        <v xml:space="preserve"> </v>
      </c>
    </row>
    <row r="78" spans="1:11" s="19" customFormat="1" x14ac:dyDescent="0.25">
      <c r="A78" s="19" t="str">
        <f t="array" ref="A78">IFERROR(IF(ROWS($A$5:A76)&lt;=$A$5,INDEX(Lista1[Código],SMALL(IF(FREQUENCY(IF(Lista1[Código]&lt;&gt;"",
    MATCH("~"&amp;Lista1[Código]&amp;"",Lista1[Código]&amp;"",0)),ROW(Lista1[Código])-ROW(Inicio!$A$9)+1),ROW(Lista1[Código])-ROW(Inicio!$A$9)+1),
      ROWS($A$5:A76))),""),"")</f>
        <v/>
      </c>
      <c r="B78" s="19" t="str">
        <f>IFERROR(VLOOKUP(A78,Lista1[],2,FALSE),"")</f>
        <v/>
      </c>
      <c r="C78" s="1" t="str">
        <f>IF(A78&lt;&gt;"",SUMIF(Lista1[Código],A78,Lista1[Qtd]),"")</f>
        <v/>
      </c>
      <c r="D78" s="1" t="str">
        <f t="shared" si="5"/>
        <v/>
      </c>
      <c r="E78" s="19" t="str">
        <f t="shared" si="6"/>
        <v xml:space="preserve"> </v>
      </c>
      <c r="G78" s="19" t="str">
        <f t="array" ref="G78">IFERROR(IF(ROWS($G$5:G76)&lt;=$G$5,INDEX(Lista2[Código],SMALL(IF(FREQUENCY(IF(Lista2[Código]&lt;&gt;"",
    MATCH("~"&amp;Lista2[Código]&amp;"",Lista2[Código]&amp;"",0)),ROW(Lista2[Código])-ROW(Inicio!$A$9)+1),ROW(Lista2[Código])-ROW(Inicio!$A$9)+1),
      ROWS($G$5:G76))),""),"")</f>
        <v/>
      </c>
      <c r="H78" s="19" t="str">
        <f>IFERROR(VLOOKUP(G78,Lista2[],2,FALSE),"")</f>
        <v/>
      </c>
      <c r="I78" s="1" t="str">
        <f>IF(G78&lt;&gt;"",SUMIF(Lista2[Código],G78,Lista2[Qtd]),"")</f>
        <v/>
      </c>
      <c r="J78" s="1" t="str">
        <f t="shared" si="7"/>
        <v/>
      </c>
      <c r="K78" s="19" t="str">
        <f t="shared" si="8"/>
        <v xml:space="preserve"> </v>
      </c>
    </row>
    <row r="79" spans="1:11" s="19" customFormat="1" x14ac:dyDescent="0.25">
      <c r="A79" s="19" t="str">
        <f t="array" ref="A79">IFERROR(IF(ROWS($A$5:A77)&lt;=$A$5,INDEX(Lista1[Código],SMALL(IF(FREQUENCY(IF(Lista1[Código]&lt;&gt;"",
    MATCH("~"&amp;Lista1[Código]&amp;"",Lista1[Código]&amp;"",0)),ROW(Lista1[Código])-ROW(Inicio!$A$9)+1),ROW(Lista1[Código])-ROW(Inicio!$A$9)+1),
      ROWS($A$5:A77))),""),"")</f>
        <v/>
      </c>
      <c r="B79" s="19" t="str">
        <f>IFERROR(VLOOKUP(A79,Lista1[],2,FALSE),"")</f>
        <v/>
      </c>
      <c r="C79" s="1" t="str">
        <f>IF(A79&lt;&gt;"",SUMIF(Lista1[Código],A79,Lista1[Qtd]),"")</f>
        <v/>
      </c>
      <c r="D79" s="1" t="str">
        <f t="shared" si="5"/>
        <v/>
      </c>
      <c r="E79" s="19" t="str">
        <f t="shared" si="6"/>
        <v xml:space="preserve"> </v>
      </c>
      <c r="G79" s="19" t="str">
        <f t="array" ref="G79">IFERROR(IF(ROWS($G$5:G77)&lt;=$G$5,INDEX(Lista2[Código],SMALL(IF(FREQUENCY(IF(Lista2[Código]&lt;&gt;"",
    MATCH("~"&amp;Lista2[Código]&amp;"",Lista2[Código]&amp;"",0)),ROW(Lista2[Código])-ROW(Inicio!$A$9)+1),ROW(Lista2[Código])-ROW(Inicio!$A$9)+1),
      ROWS($G$5:G77))),""),"")</f>
        <v/>
      </c>
      <c r="H79" s="19" t="str">
        <f>IFERROR(VLOOKUP(G79,Lista2[],2,FALSE),"")</f>
        <v/>
      </c>
      <c r="I79" s="1" t="str">
        <f>IF(G79&lt;&gt;"",SUMIF(Lista2[Código],G79,Lista2[Qtd]),"")</f>
        <v/>
      </c>
      <c r="J79" s="1" t="str">
        <f t="shared" si="7"/>
        <v/>
      </c>
      <c r="K79" s="19" t="str">
        <f t="shared" si="8"/>
        <v xml:space="preserve"> </v>
      </c>
    </row>
    <row r="80" spans="1:11" s="19" customFormat="1" x14ac:dyDescent="0.25">
      <c r="A80" s="19" t="str">
        <f t="array" ref="A80">IFERROR(IF(ROWS($A$5:A78)&lt;=$A$5,INDEX(Lista1[Código],SMALL(IF(FREQUENCY(IF(Lista1[Código]&lt;&gt;"",
    MATCH("~"&amp;Lista1[Código]&amp;"",Lista1[Código]&amp;"",0)),ROW(Lista1[Código])-ROW(Inicio!$A$9)+1),ROW(Lista1[Código])-ROW(Inicio!$A$9)+1),
      ROWS($A$5:A78))),""),"")</f>
        <v/>
      </c>
      <c r="B80" s="19" t="str">
        <f>IFERROR(VLOOKUP(A80,Lista1[],2,FALSE),"")</f>
        <v/>
      </c>
      <c r="C80" s="1" t="str">
        <f>IF(A80&lt;&gt;"",SUMIF(Lista1[Código],A80,Lista1[Qtd]),"")</f>
        <v/>
      </c>
      <c r="D80" s="1" t="str">
        <f t="shared" si="5"/>
        <v/>
      </c>
      <c r="E80" s="19" t="str">
        <f t="shared" si="6"/>
        <v xml:space="preserve"> </v>
      </c>
      <c r="G80" s="19" t="str">
        <f t="array" ref="G80">IFERROR(IF(ROWS($G$5:G78)&lt;=$G$5,INDEX(Lista2[Código],SMALL(IF(FREQUENCY(IF(Lista2[Código]&lt;&gt;"",
    MATCH("~"&amp;Lista2[Código]&amp;"",Lista2[Código]&amp;"",0)),ROW(Lista2[Código])-ROW(Inicio!$A$9)+1),ROW(Lista2[Código])-ROW(Inicio!$A$9)+1),
      ROWS($G$5:G78))),""),"")</f>
        <v/>
      </c>
      <c r="H80" s="19" t="str">
        <f>IFERROR(VLOOKUP(G80,Lista2[],2,FALSE),"")</f>
        <v/>
      </c>
      <c r="I80" s="1" t="str">
        <f>IF(G80&lt;&gt;"",SUMIF(Lista2[Código],G80,Lista2[Qtd]),"")</f>
        <v/>
      </c>
      <c r="J80" s="1" t="str">
        <f t="shared" si="7"/>
        <v/>
      </c>
      <c r="K80" s="19" t="str">
        <f t="shared" si="8"/>
        <v xml:space="preserve"> </v>
      </c>
    </row>
    <row r="81" spans="1:11" s="19" customFormat="1" x14ac:dyDescent="0.25">
      <c r="A81" s="19" t="str">
        <f t="array" ref="A81">IFERROR(IF(ROWS($A$5:A79)&lt;=$A$5,INDEX(Lista1[Código],SMALL(IF(FREQUENCY(IF(Lista1[Código]&lt;&gt;"",
    MATCH("~"&amp;Lista1[Código]&amp;"",Lista1[Código]&amp;"",0)),ROW(Lista1[Código])-ROW(Inicio!$A$9)+1),ROW(Lista1[Código])-ROW(Inicio!$A$9)+1),
      ROWS($A$5:A79))),""),"")</f>
        <v/>
      </c>
      <c r="B81" s="19" t="str">
        <f>IFERROR(VLOOKUP(A81,Lista1[],2,FALSE),"")</f>
        <v/>
      </c>
      <c r="C81" s="1" t="str">
        <f>IF(A81&lt;&gt;"",SUMIF(Lista1[Código],A81,Lista1[Qtd]),"")</f>
        <v/>
      </c>
      <c r="D81" s="1" t="str">
        <f t="shared" si="5"/>
        <v/>
      </c>
      <c r="E81" s="19" t="str">
        <f t="shared" si="6"/>
        <v xml:space="preserve"> </v>
      </c>
      <c r="G81" s="19" t="str">
        <f t="array" ref="G81">IFERROR(IF(ROWS($G$5:G79)&lt;=$G$5,INDEX(Lista2[Código],SMALL(IF(FREQUENCY(IF(Lista2[Código]&lt;&gt;"",
    MATCH("~"&amp;Lista2[Código]&amp;"",Lista2[Código]&amp;"",0)),ROW(Lista2[Código])-ROW(Inicio!$A$9)+1),ROW(Lista2[Código])-ROW(Inicio!$A$9)+1),
      ROWS($G$5:G79))),""),"")</f>
        <v/>
      </c>
      <c r="H81" s="19" t="str">
        <f>IFERROR(VLOOKUP(G81,Lista2[],2,FALSE),"")</f>
        <v/>
      </c>
      <c r="I81" s="1" t="str">
        <f>IF(G81&lt;&gt;"",SUMIF(Lista2[Código],G81,Lista2[Qtd]),"")</f>
        <v/>
      </c>
      <c r="J81" s="1" t="str">
        <f t="shared" si="7"/>
        <v/>
      </c>
      <c r="K81" s="19" t="str">
        <f t="shared" si="8"/>
        <v xml:space="preserve"> </v>
      </c>
    </row>
    <row r="82" spans="1:11" s="19" customFormat="1" x14ac:dyDescent="0.25">
      <c r="A82" s="19" t="str">
        <f t="array" ref="A82">IFERROR(IF(ROWS($A$5:A80)&lt;=$A$5,INDEX(Lista1[Código],SMALL(IF(FREQUENCY(IF(Lista1[Código]&lt;&gt;"",
    MATCH("~"&amp;Lista1[Código]&amp;"",Lista1[Código]&amp;"",0)),ROW(Lista1[Código])-ROW(Inicio!$A$9)+1),ROW(Lista1[Código])-ROW(Inicio!$A$9)+1),
      ROWS($A$5:A80))),""),"")</f>
        <v/>
      </c>
      <c r="B82" s="19" t="str">
        <f>IFERROR(VLOOKUP(A82,Lista1[],2,FALSE),"")</f>
        <v/>
      </c>
      <c r="C82" s="1" t="str">
        <f>IF(A82&lt;&gt;"",SUMIF(Lista1[Código],A82,Lista1[Qtd]),"")</f>
        <v/>
      </c>
      <c r="D82" s="1" t="str">
        <f t="shared" si="5"/>
        <v/>
      </c>
      <c r="E82" s="19" t="str">
        <f t="shared" si="6"/>
        <v xml:space="preserve"> </v>
      </c>
      <c r="G82" s="19" t="str">
        <f t="array" ref="G82">IFERROR(IF(ROWS($G$5:G80)&lt;=$G$5,INDEX(Lista2[Código],SMALL(IF(FREQUENCY(IF(Lista2[Código]&lt;&gt;"",
    MATCH("~"&amp;Lista2[Código]&amp;"",Lista2[Código]&amp;"",0)),ROW(Lista2[Código])-ROW(Inicio!$A$9)+1),ROW(Lista2[Código])-ROW(Inicio!$A$9)+1),
      ROWS($G$5:G80))),""),"")</f>
        <v/>
      </c>
      <c r="H82" s="19" t="str">
        <f>IFERROR(VLOOKUP(G82,Lista2[],2,FALSE),"")</f>
        <v/>
      </c>
      <c r="I82" s="1" t="str">
        <f>IF(G82&lt;&gt;"",SUMIF(Lista2[Código],G82,Lista2[Qtd]),"")</f>
        <v/>
      </c>
      <c r="J82" s="1" t="str">
        <f t="shared" si="7"/>
        <v/>
      </c>
      <c r="K82" s="19" t="str">
        <f t="shared" si="8"/>
        <v xml:space="preserve"> </v>
      </c>
    </row>
    <row r="83" spans="1:11" s="19" customFormat="1" x14ac:dyDescent="0.25">
      <c r="A83" s="19" t="str">
        <f t="array" ref="A83">IFERROR(IF(ROWS($A$5:A81)&lt;=$A$5,INDEX(Lista1[Código],SMALL(IF(FREQUENCY(IF(Lista1[Código]&lt;&gt;"",
    MATCH("~"&amp;Lista1[Código]&amp;"",Lista1[Código]&amp;"",0)),ROW(Lista1[Código])-ROW(Inicio!$A$9)+1),ROW(Lista1[Código])-ROW(Inicio!$A$9)+1),
      ROWS($A$5:A81))),""),"")</f>
        <v/>
      </c>
      <c r="B83" s="19" t="str">
        <f>IFERROR(VLOOKUP(A83,Lista1[],2,FALSE),"")</f>
        <v/>
      </c>
      <c r="C83" s="1" t="str">
        <f>IF(A83&lt;&gt;"",SUMIF(Lista1[Código],A83,Lista1[Qtd]),"")</f>
        <v/>
      </c>
      <c r="D83" s="1" t="str">
        <f t="shared" si="5"/>
        <v/>
      </c>
      <c r="E83" s="19" t="str">
        <f t="shared" si="6"/>
        <v xml:space="preserve"> </v>
      </c>
      <c r="G83" s="19" t="str">
        <f t="array" ref="G83">IFERROR(IF(ROWS($G$5:G81)&lt;=$G$5,INDEX(Lista2[Código],SMALL(IF(FREQUENCY(IF(Lista2[Código]&lt;&gt;"",
    MATCH("~"&amp;Lista2[Código]&amp;"",Lista2[Código]&amp;"",0)),ROW(Lista2[Código])-ROW(Inicio!$A$9)+1),ROW(Lista2[Código])-ROW(Inicio!$A$9)+1),
      ROWS($G$5:G81))),""),"")</f>
        <v/>
      </c>
      <c r="H83" s="19" t="str">
        <f>IFERROR(VLOOKUP(G83,Lista2[],2,FALSE),"")</f>
        <v/>
      </c>
      <c r="I83" s="1" t="str">
        <f>IF(G83&lt;&gt;"",SUMIF(Lista2[Código],G83,Lista2[Qtd]),"")</f>
        <v/>
      </c>
      <c r="J83" s="1" t="str">
        <f t="shared" si="7"/>
        <v/>
      </c>
      <c r="K83" s="19" t="str">
        <f t="shared" si="8"/>
        <v xml:space="preserve"> </v>
      </c>
    </row>
    <row r="84" spans="1:11" s="19" customFormat="1" x14ac:dyDescent="0.25">
      <c r="A84" s="19" t="str">
        <f t="array" ref="A84">IFERROR(IF(ROWS($A$5:A82)&lt;=$A$5,INDEX(Lista1[Código],SMALL(IF(FREQUENCY(IF(Lista1[Código]&lt;&gt;"",
    MATCH("~"&amp;Lista1[Código]&amp;"",Lista1[Código]&amp;"",0)),ROW(Lista1[Código])-ROW(Inicio!$A$9)+1),ROW(Lista1[Código])-ROW(Inicio!$A$9)+1),
      ROWS($A$5:A82))),""),"")</f>
        <v/>
      </c>
      <c r="B84" s="19" t="str">
        <f>IFERROR(VLOOKUP(A84,Lista1[],2,FALSE),"")</f>
        <v/>
      </c>
      <c r="C84" s="1" t="str">
        <f>IF(A84&lt;&gt;"",SUMIF(Lista1[Código],A84,Lista1[Qtd]),"")</f>
        <v/>
      </c>
      <c r="D84" s="1" t="str">
        <f t="shared" si="5"/>
        <v/>
      </c>
      <c r="E84" s="19" t="str">
        <f t="shared" si="6"/>
        <v xml:space="preserve"> </v>
      </c>
      <c r="G84" s="19" t="str">
        <f t="array" ref="G84">IFERROR(IF(ROWS($G$5:G82)&lt;=$G$5,INDEX(Lista2[Código],SMALL(IF(FREQUENCY(IF(Lista2[Código]&lt;&gt;"",
    MATCH("~"&amp;Lista2[Código]&amp;"",Lista2[Código]&amp;"",0)),ROW(Lista2[Código])-ROW(Inicio!$A$9)+1),ROW(Lista2[Código])-ROW(Inicio!$A$9)+1),
      ROWS($G$5:G82))),""),"")</f>
        <v/>
      </c>
      <c r="H84" s="19" t="str">
        <f>IFERROR(VLOOKUP(G84,Lista2[],2,FALSE),"")</f>
        <v/>
      </c>
      <c r="I84" s="1" t="str">
        <f>IF(G84&lt;&gt;"",SUMIF(Lista2[Código],G84,Lista2[Qtd]),"")</f>
        <v/>
      </c>
      <c r="J84" s="1" t="str">
        <f t="shared" si="7"/>
        <v/>
      </c>
      <c r="K84" s="19" t="str">
        <f t="shared" si="8"/>
        <v xml:space="preserve"> </v>
      </c>
    </row>
    <row r="85" spans="1:11" s="19" customFormat="1" x14ac:dyDescent="0.25">
      <c r="A85" s="19" t="str">
        <f t="array" ref="A85">IFERROR(IF(ROWS($A$5:A83)&lt;=$A$5,INDEX(Lista1[Código],SMALL(IF(FREQUENCY(IF(Lista1[Código]&lt;&gt;"",
    MATCH("~"&amp;Lista1[Código]&amp;"",Lista1[Código]&amp;"",0)),ROW(Lista1[Código])-ROW(Inicio!$A$9)+1),ROW(Lista1[Código])-ROW(Inicio!$A$9)+1),
      ROWS($A$5:A83))),""),"")</f>
        <v/>
      </c>
      <c r="B85" s="19" t="str">
        <f>IFERROR(VLOOKUP(A85,Lista1[],2,FALSE),"")</f>
        <v/>
      </c>
      <c r="C85" s="1" t="str">
        <f>IF(A85&lt;&gt;"",SUMIF(Lista1[Código],A85,Lista1[Qtd]),"")</f>
        <v/>
      </c>
      <c r="D85" s="1" t="str">
        <f t="shared" si="5"/>
        <v/>
      </c>
      <c r="E85" s="19" t="str">
        <f t="shared" si="6"/>
        <v xml:space="preserve"> </v>
      </c>
      <c r="G85" s="19" t="str">
        <f t="array" ref="G85">IFERROR(IF(ROWS($G$5:G83)&lt;=$G$5,INDEX(Lista2[Código],SMALL(IF(FREQUENCY(IF(Lista2[Código]&lt;&gt;"",
    MATCH("~"&amp;Lista2[Código]&amp;"",Lista2[Código]&amp;"",0)),ROW(Lista2[Código])-ROW(Inicio!$A$9)+1),ROW(Lista2[Código])-ROW(Inicio!$A$9)+1),
      ROWS($G$5:G83))),""),"")</f>
        <v/>
      </c>
      <c r="H85" s="19" t="str">
        <f>IFERROR(VLOOKUP(G85,Lista2[],2,FALSE),"")</f>
        <v/>
      </c>
      <c r="I85" s="1" t="str">
        <f>IF(G85&lt;&gt;"",SUMIF(Lista2[Código],G85,Lista2[Qtd]),"")</f>
        <v/>
      </c>
      <c r="J85" s="1" t="str">
        <f t="shared" si="7"/>
        <v/>
      </c>
      <c r="K85" s="19" t="str">
        <f t="shared" si="8"/>
        <v xml:space="preserve"> </v>
      </c>
    </row>
    <row r="86" spans="1:11" s="19" customFormat="1" x14ac:dyDescent="0.25">
      <c r="A86" s="19" t="str">
        <f t="array" ref="A86">IFERROR(IF(ROWS($A$5:A84)&lt;=$A$5,INDEX(Lista1[Código],SMALL(IF(FREQUENCY(IF(Lista1[Código]&lt;&gt;"",
    MATCH("~"&amp;Lista1[Código]&amp;"",Lista1[Código]&amp;"",0)),ROW(Lista1[Código])-ROW(Inicio!$A$9)+1),ROW(Lista1[Código])-ROW(Inicio!$A$9)+1),
      ROWS($A$5:A84))),""),"")</f>
        <v/>
      </c>
      <c r="B86" s="19" t="str">
        <f>IFERROR(VLOOKUP(A86,Lista1[],2,FALSE),"")</f>
        <v/>
      </c>
      <c r="C86" s="1" t="str">
        <f>IF(A86&lt;&gt;"",SUMIF(Lista1[Código],A86,Lista1[Qtd]),"")</f>
        <v/>
      </c>
      <c r="D86" s="1" t="str">
        <f t="shared" si="5"/>
        <v/>
      </c>
      <c r="E86" s="19" t="str">
        <f t="shared" si="6"/>
        <v xml:space="preserve"> </v>
      </c>
      <c r="G86" s="19" t="str">
        <f t="array" ref="G86">IFERROR(IF(ROWS($G$5:G84)&lt;=$G$5,INDEX(Lista2[Código],SMALL(IF(FREQUENCY(IF(Lista2[Código]&lt;&gt;"",
    MATCH("~"&amp;Lista2[Código]&amp;"",Lista2[Código]&amp;"",0)),ROW(Lista2[Código])-ROW(Inicio!$A$9)+1),ROW(Lista2[Código])-ROW(Inicio!$A$9)+1),
      ROWS($G$5:G84))),""),"")</f>
        <v/>
      </c>
      <c r="H86" s="19" t="str">
        <f>IFERROR(VLOOKUP(G86,Lista2[],2,FALSE),"")</f>
        <v/>
      </c>
      <c r="I86" s="1" t="str">
        <f>IF(G86&lt;&gt;"",SUMIF(Lista2[Código],G86,Lista2[Qtd]),"")</f>
        <v/>
      </c>
      <c r="J86" s="1" t="str">
        <f t="shared" si="7"/>
        <v/>
      </c>
      <c r="K86" s="19" t="str">
        <f t="shared" si="8"/>
        <v xml:space="preserve"> </v>
      </c>
    </row>
    <row r="87" spans="1:11" s="19" customFormat="1" x14ac:dyDescent="0.25">
      <c r="A87" s="19" t="str">
        <f t="array" ref="A87">IFERROR(IF(ROWS($A$5:A85)&lt;=$A$5,INDEX(Lista1[Código],SMALL(IF(FREQUENCY(IF(Lista1[Código]&lt;&gt;"",
    MATCH("~"&amp;Lista1[Código]&amp;"",Lista1[Código]&amp;"",0)),ROW(Lista1[Código])-ROW(Inicio!$A$9)+1),ROW(Lista1[Código])-ROW(Inicio!$A$9)+1),
      ROWS($A$5:A85))),""),"")</f>
        <v/>
      </c>
      <c r="B87" s="19" t="str">
        <f>IFERROR(VLOOKUP(A87,Lista1[],2,FALSE),"")</f>
        <v/>
      </c>
      <c r="C87" s="1" t="str">
        <f>IF(A87&lt;&gt;"",SUMIF(Lista1[Código],A87,Lista1[Qtd]),"")</f>
        <v/>
      </c>
      <c r="D87" s="1" t="str">
        <f t="shared" si="5"/>
        <v/>
      </c>
      <c r="E87" s="19" t="str">
        <f t="shared" si="6"/>
        <v xml:space="preserve"> </v>
      </c>
      <c r="G87" s="19" t="str">
        <f t="array" ref="G87">IFERROR(IF(ROWS($G$5:G85)&lt;=$G$5,INDEX(Lista2[Código],SMALL(IF(FREQUENCY(IF(Lista2[Código]&lt;&gt;"",
    MATCH("~"&amp;Lista2[Código]&amp;"",Lista2[Código]&amp;"",0)),ROW(Lista2[Código])-ROW(Inicio!$A$9)+1),ROW(Lista2[Código])-ROW(Inicio!$A$9)+1),
      ROWS($G$5:G85))),""),"")</f>
        <v/>
      </c>
      <c r="H87" s="19" t="str">
        <f>IFERROR(VLOOKUP(G87,Lista2[],2,FALSE),"")</f>
        <v/>
      </c>
      <c r="I87" s="1" t="str">
        <f>IF(G87&lt;&gt;"",SUMIF(Lista2[Código],G87,Lista2[Qtd]),"")</f>
        <v/>
      </c>
      <c r="J87" s="1" t="str">
        <f t="shared" si="7"/>
        <v/>
      </c>
      <c r="K87" s="19" t="str">
        <f t="shared" si="8"/>
        <v xml:space="preserve"> </v>
      </c>
    </row>
    <row r="88" spans="1:11" s="19" customFormat="1" x14ac:dyDescent="0.25">
      <c r="A88" s="19" t="str">
        <f t="array" ref="A88">IFERROR(IF(ROWS($A$5:A86)&lt;=$A$5,INDEX(Lista1[Código],SMALL(IF(FREQUENCY(IF(Lista1[Código]&lt;&gt;"",
    MATCH("~"&amp;Lista1[Código]&amp;"",Lista1[Código]&amp;"",0)),ROW(Lista1[Código])-ROW(Inicio!$A$9)+1),ROW(Lista1[Código])-ROW(Inicio!$A$9)+1),
      ROWS($A$5:A86))),""),"")</f>
        <v/>
      </c>
      <c r="B88" s="19" t="str">
        <f>IFERROR(VLOOKUP(A88,Lista1[],2,FALSE),"")</f>
        <v/>
      </c>
      <c r="C88" s="1" t="str">
        <f>IF(A88&lt;&gt;"",SUMIF(Lista1[Código],A88,Lista1[Qtd]),"")</f>
        <v/>
      </c>
      <c r="D88" s="1" t="str">
        <f t="shared" si="5"/>
        <v/>
      </c>
      <c r="E88" s="19" t="str">
        <f t="shared" si="6"/>
        <v xml:space="preserve"> </v>
      </c>
      <c r="G88" s="19" t="str">
        <f t="array" ref="G88">IFERROR(IF(ROWS($G$5:G86)&lt;=$G$5,INDEX(Lista2[Código],SMALL(IF(FREQUENCY(IF(Lista2[Código]&lt;&gt;"",
    MATCH("~"&amp;Lista2[Código]&amp;"",Lista2[Código]&amp;"",0)),ROW(Lista2[Código])-ROW(Inicio!$A$9)+1),ROW(Lista2[Código])-ROW(Inicio!$A$9)+1),
      ROWS($G$5:G86))),""),"")</f>
        <v/>
      </c>
      <c r="H88" s="19" t="str">
        <f>IFERROR(VLOOKUP(G88,Lista2[],2,FALSE),"")</f>
        <v/>
      </c>
      <c r="I88" s="1" t="str">
        <f>IF(G88&lt;&gt;"",SUMIF(Lista2[Código],G88,Lista2[Qtd]),"")</f>
        <v/>
      </c>
      <c r="J88" s="1" t="str">
        <f t="shared" si="7"/>
        <v/>
      </c>
      <c r="K88" s="19" t="str">
        <f t="shared" si="8"/>
        <v xml:space="preserve"> </v>
      </c>
    </row>
    <row r="89" spans="1:11" s="19" customFormat="1" x14ac:dyDescent="0.25">
      <c r="A89" s="19" t="str">
        <f t="array" ref="A89">IFERROR(IF(ROWS($A$5:A87)&lt;=$A$5,INDEX(Lista1[Código],SMALL(IF(FREQUENCY(IF(Lista1[Código]&lt;&gt;"",
    MATCH("~"&amp;Lista1[Código]&amp;"",Lista1[Código]&amp;"",0)),ROW(Lista1[Código])-ROW(Inicio!$A$9)+1),ROW(Lista1[Código])-ROW(Inicio!$A$9)+1),
      ROWS($A$5:A87))),""),"")</f>
        <v/>
      </c>
      <c r="B89" s="19" t="str">
        <f>IFERROR(VLOOKUP(A89,Lista1[],2,FALSE),"")</f>
        <v/>
      </c>
      <c r="C89" s="1" t="str">
        <f>IF(A89&lt;&gt;"",SUMIF(Lista1[Código],A89,Lista1[Qtd]),"")</f>
        <v/>
      </c>
      <c r="D89" s="1" t="str">
        <f t="shared" si="5"/>
        <v/>
      </c>
      <c r="E89" s="19" t="str">
        <f t="shared" si="6"/>
        <v xml:space="preserve"> </v>
      </c>
      <c r="G89" s="19" t="str">
        <f t="array" ref="G89">IFERROR(IF(ROWS($G$5:G87)&lt;=$G$5,INDEX(Lista2[Código],SMALL(IF(FREQUENCY(IF(Lista2[Código]&lt;&gt;"",
    MATCH("~"&amp;Lista2[Código]&amp;"",Lista2[Código]&amp;"",0)),ROW(Lista2[Código])-ROW(Inicio!$A$9)+1),ROW(Lista2[Código])-ROW(Inicio!$A$9)+1),
      ROWS($G$5:G87))),""),"")</f>
        <v/>
      </c>
      <c r="H89" s="19" t="str">
        <f>IFERROR(VLOOKUP(G89,Lista2[],2,FALSE),"")</f>
        <v/>
      </c>
      <c r="I89" s="1" t="str">
        <f>IF(G89&lt;&gt;"",SUMIF(Lista2[Código],G89,Lista2[Qtd]),"")</f>
        <v/>
      </c>
      <c r="J89" s="1" t="str">
        <f t="shared" si="7"/>
        <v/>
      </c>
      <c r="K89" s="19" t="str">
        <f t="shared" si="8"/>
        <v xml:space="preserve"> </v>
      </c>
    </row>
    <row r="90" spans="1:11" s="19" customFormat="1" x14ac:dyDescent="0.25">
      <c r="A90" s="19" t="str">
        <f t="array" ref="A90">IFERROR(IF(ROWS($A$5:A88)&lt;=$A$5,INDEX(Lista1[Código],SMALL(IF(FREQUENCY(IF(Lista1[Código]&lt;&gt;"",
    MATCH("~"&amp;Lista1[Código]&amp;"",Lista1[Código]&amp;"",0)),ROW(Lista1[Código])-ROW(Inicio!$A$9)+1),ROW(Lista1[Código])-ROW(Inicio!$A$9)+1),
      ROWS($A$5:A88))),""),"")</f>
        <v/>
      </c>
      <c r="B90" s="19" t="str">
        <f>IFERROR(VLOOKUP(A90,Lista1[],2,FALSE),"")</f>
        <v/>
      </c>
      <c r="C90" s="1" t="str">
        <f>IF(A90&lt;&gt;"",SUMIF(Lista1[Código],A90,Lista1[Qtd]),"")</f>
        <v/>
      </c>
      <c r="D90" s="1" t="str">
        <f t="shared" si="5"/>
        <v/>
      </c>
      <c r="E90" s="19" t="str">
        <f t="shared" si="6"/>
        <v xml:space="preserve"> </v>
      </c>
      <c r="G90" s="19" t="str">
        <f t="array" ref="G90">IFERROR(IF(ROWS($G$5:G88)&lt;=$G$5,INDEX(Lista2[Código],SMALL(IF(FREQUENCY(IF(Lista2[Código]&lt;&gt;"",
    MATCH("~"&amp;Lista2[Código]&amp;"",Lista2[Código]&amp;"",0)),ROW(Lista2[Código])-ROW(Inicio!$A$9)+1),ROW(Lista2[Código])-ROW(Inicio!$A$9)+1),
      ROWS($G$5:G88))),""),"")</f>
        <v/>
      </c>
      <c r="H90" s="19" t="str">
        <f>IFERROR(VLOOKUP(G90,Lista2[],2,FALSE),"")</f>
        <v/>
      </c>
      <c r="I90" s="1" t="str">
        <f>IF(G90&lt;&gt;"",SUMIF(Lista2[Código],G90,Lista2[Qtd]),"")</f>
        <v/>
      </c>
      <c r="J90" s="1" t="str">
        <f t="shared" si="7"/>
        <v/>
      </c>
      <c r="K90" s="19" t="str">
        <f t="shared" si="8"/>
        <v xml:space="preserve"> </v>
      </c>
    </row>
    <row r="91" spans="1:11" s="19" customFormat="1" x14ac:dyDescent="0.25">
      <c r="A91" s="19" t="str">
        <f t="array" ref="A91">IFERROR(IF(ROWS($A$5:A89)&lt;=$A$5,INDEX(Lista1[Código],SMALL(IF(FREQUENCY(IF(Lista1[Código]&lt;&gt;"",
    MATCH("~"&amp;Lista1[Código]&amp;"",Lista1[Código]&amp;"",0)),ROW(Lista1[Código])-ROW(Inicio!$A$9)+1),ROW(Lista1[Código])-ROW(Inicio!$A$9)+1),
      ROWS($A$5:A89))),""),"")</f>
        <v/>
      </c>
      <c r="B91" s="19" t="str">
        <f>IFERROR(VLOOKUP(A91,Lista1[],2,FALSE),"")</f>
        <v/>
      </c>
      <c r="C91" s="1" t="str">
        <f>IF(A91&lt;&gt;"",SUMIF(Lista1[Código],A91,Lista1[Qtd]),"")</f>
        <v/>
      </c>
      <c r="D91" s="1" t="str">
        <f t="shared" si="5"/>
        <v/>
      </c>
      <c r="E91" s="19" t="str">
        <f t="shared" si="6"/>
        <v xml:space="preserve"> </v>
      </c>
      <c r="G91" s="19" t="str">
        <f t="array" ref="G91">IFERROR(IF(ROWS($G$5:G89)&lt;=$G$5,INDEX(Lista2[Código],SMALL(IF(FREQUENCY(IF(Lista2[Código]&lt;&gt;"",
    MATCH("~"&amp;Lista2[Código]&amp;"",Lista2[Código]&amp;"",0)),ROW(Lista2[Código])-ROW(Inicio!$A$9)+1),ROW(Lista2[Código])-ROW(Inicio!$A$9)+1),
      ROWS($G$5:G89))),""),"")</f>
        <v/>
      </c>
      <c r="H91" s="19" t="str">
        <f>IFERROR(VLOOKUP(G91,Lista2[],2,FALSE),"")</f>
        <v/>
      </c>
      <c r="I91" s="1" t="str">
        <f>IF(G91&lt;&gt;"",SUMIF(Lista2[Código],G91,Lista2[Qtd]),"")</f>
        <v/>
      </c>
      <c r="J91" s="1" t="str">
        <f t="shared" si="7"/>
        <v/>
      </c>
      <c r="K91" s="19" t="str">
        <f t="shared" si="8"/>
        <v xml:space="preserve"> </v>
      </c>
    </row>
    <row r="92" spans="1:11" s="19" customFormat="1" x14ac:dyDescent="0.25">
      <c r="A92" s="19" t="str">
        <f t="array" ref="A92">IFERROR(IF(ROWS($A$5:A90)&lt;=$A$5,INDEX(Lista1[Código],SMALL(IF(FREQUENCY(IF(Lista1[Código]&lt;&gt;"",
    MATCH("~"&amp;Lista1[Código]&amp;"",Lista1[Código]&amp;"",0)),ROW(Lista1[Código])-ROW(Inicio!$A$9)+1),ROW(Lista1[Código])-ROW(Inicio!$A$9)+1),
      ROWS($A$5:A90))),""),"")</f>
        <v/>
      </c>
      <c r="B92" s="19" t="str">
        <f>IFERROR(VLOOKUP(A92,Lista1[],2,FALSE),"")</f>
        <v/>
      </c>
      <c r="C92" s="1" t="str">
        <f>IF(A92&lt;&gt;"",SUMIF(Lista1[Código],A92,Lista1[Qtd]),"")</f>
        <v/>
      </c>
      <c r="D92" s="1" t="str">
        <f t="shared" si="5"/>
        <v/>
      </c>
      <c r="E92" s="19" t="str">
        <f t="shared" si="6"/>
        <v xml:space="preserve"> </v>
      </c>
      <c r="G92" s="19" t="str">
        <f t="array" ref="G92">IFERROR(IF(ROWS($G$5:G90)&lt;=$G$5,INDEX(Lista2[Código],SMALL(IF(FREQUENCY(IF(Lista2[Código]&lt;&gt;"",
    MATCH("~"&amp;Lista2[Código]&amp;"",Lista2[Código]&amp;"",0)),ROW(Lista2[Código])-ROW(Inicio!$A$9)+1),ROW(Lista2[Código])-ROW(Inicio!$A$9)+1),
      ROWS($G$5:G90))),""),"")</f>
        <v/>
      </c>
      <c r="H92" s="19" t="str">
        <f>IFERROR(VLOOKUP(G92,Lista2[],2,FALSE),"")</f>
        <v/>
      </c>
      <c r="I92" s="1" t="str">
        <f>IF(G92&lt;&gt;"",SUMIF(Lista2[Código],G92,Lista2[Qtd]),"")</f>
        <v/>
      </c>
      <c r="J92" s="1" t="str">
        <f t="shared" si="7"/>
        <v/>
      </c>
      <c r="K92" s="19" t="str">
        <f t="shared" si="8"/>
        <v xml:space="preserve"> </v>
      </c>
    </row>
    <row r="93" spans="1:11" s="19" customFormat="1" x14ac:dyDescent="0.25">
      <c r="A93" s="19" t="str">
        <f t="array" ref="A93">IFERROR(IF(ROWS($A$5:A91)&lt;=$A$5,INDEX(Lista1[Código],SMALL(IF(FREQUENCY(IF(Lista1[Código]&lt;&gt;"",
    MATCH("~"&amp;Lista1[Código]&amp;"",Lista1[Código]&amp;"",0)),ROW(Lista1[Código])-ROW(Inicio!$A$9)+1),ROW(Lista1[Código])-ROW(Inicio!$A$9)+1),
      ROWS($A$5:A91))),""),"")</f>
        <v/>
      </c>
      <c r="B93" s="19" t="str">
        <f>IFERROR(VLOOKUP(A93,Lista1[],2,FALSE),"")</f>
        <v/>
      </c>
      <c r="C93" s="1" t="str">
        <f>IF(A93&lt;&gt;"",SUMIF(Lista1[Código],A93,Lista1[Qtd]),"")</f>
        <v/>
      </c>
      <c r="D93" s="1" t="str">
        <f t="shared" si="5"/>
        <v/>
      </c>
      <c r="E93" s="19" t="str">
        <f t="shared" si="6"/>
        <v xml:space="preserve"> </v>
      </c>
      <c r="G93" s="19" t="str">
        <f t="array" ref="G93">IFERROR(IF(ROWS($G$5:G91)&lt;=$G$5,INDEX(Lista2[Código],SMALL(IF(FREQUENCY(IF(Lista2[Código]&lt;&gt;"",
    MATCH("~"&amp;Lista2[Código]&amp;"",Lista2[Código]&amp;"",0)),ROW(Lista2[Código])-ROW(Inicio!$A$9)+1),ROW(Lista2[Código])-ROW(Inicio!$A$9)+1),
      ROWS($G$5:G91))),""),"")</f>
        <v/>
      </c>
      <c r="H93" s="19" t="str">
        <f>IFERROR(VLOOKUP(G93,Lista2[],2,FALSE),"")</f>
        <v/>
      </c>
      <c r="I93" s="1" t="str">
        <f>IF(G93&lt;&gt;"",SUMIF(Lista2[Código],G93,Lista2[Qtd]),"")</f>
        <v/>
      </c>
      <c r="J93" s="1" t="str">
        <f t="shared" si="7"/>
        <v/>
      </c>
      <c r="K93" s="19" t="str">
        <f t="shared" si="8"/>
        <v xml:space="preserve"> </v>
      </c>
    </row>
    <row r="94" spans="1:11" s="19" customFormat="1" x14ac:dyDescent="0.25">
      <c r="A94" s="19" t="str">
        <f t="array" ref="A94">IFERROR(IF(ROWS($A$5:A92)&lt;=$A$5,INDEX(Lista1[Código],SMALL(IF(FREQUENCY(IF(Lista1[Código]&lt;&gt;"",
    MATCH("~"&amp;Lista1[Código]&amp;"",Lista1[Código]&amp;"",0)),ROW(Lista1[Código])-ROW(Inicio!$A$9)+1),ROW(Lista1[Código])-ROW(Inicio!$A$9)+1),
      ROWS($A$5:A92))),""),"")</f>
        <v/>
      </c>
      <c r="B94" s="19" t="str">
        <f>IFERROR(VLOOKUP(A94,Lista1[],2,FALSE),"")</f>
        <v/>
      </c>
      <c r="C94" s="1" t="str">
        <f>IF(A94&lt;&gt;"",SUMIF(Lista1[Código],A94,Lista1[Qtd]),"")</f>
        <v/>
      </c>
      <c r="D94" s="1" t="str">
        <f t="shared" si="5"/>
        <v/>
      </c>
      <c r="E94" s="19" t="str">
        <f t="shared" si="6"/>
        <v xml:space="preserve"> </v>
      </c>
      <c r="G94" s="19" t="str">
        <f t="array" ref="G94">IFERROR(IF(ROWS($G$5:G92)&lt;=$G$5,INDEX(Lista2[Código],SMALL(IF(FREQUENCY(IF(Lista2[Código]&lt;&gt;"",
    MATCH("~"&amp;Lista2[Código]&amp;"",Lista2[Código]&amp;"",0)),ROW(Lista2[Código])-ROW(Inicio!$A$9)+1),ROW(Lista2[Código])-ROW(Inicio!$A$9)+1),
      ROWS($G$5:G92))),""),"")</f>
        <v/>
      </c>
      <c r="H94" s="19" t="str">
        <f>IFERROR(VLOOKUP(G94,Lista2[],2,FALSE),"")</f>
        <v/>
      </c>
      <c r="I94" s="1" t="str">
        <f>IF(G94&lt;&gt;"",SUMIF(Lista2[Código],G94,Lista2[Qtd]),"")</f>
        <v/>
      </c>
      <c r="J94" s="1" t="str">
        <f t="shared" si="7"/>
        <v/>
      </c>
      <c r="K94" s="19" t="str">
        <f t="shared" si="8"/>
        <v xml:space="preserve"> </v>
      </c>
    </row>
    <row r="95" spans="1:11" s="19" customFormat="1" x14ac:dyDescent="0.25">
      <c r="A95" s="19" t="str">
        <f t="array" ref="A95">IFERROR(IF(ROWS($A$5:A93)&lt;=$A$5,INDEX(Lista1[Código],SMALL(IF(FREQUENCY(IF(Lista1[Código]&lt;&gt;"",
    MATCH("~"&amp;Lista1[Código]&amp;"",Lista1[Código]&amp;"",0)),ROW(Lista1[Código])-ROW(Inicio!$A$9)+1),ROW(Lista1[Código])-ROW(Inicio!$A$9)+1),
      ROWS($A$5:A93))),""),"")</f>
        <v/>
      </c>
      <c r="B95" s="19" t="str">
        <f>IFERROR(VLOOKUP(A95,Lista1[],2,FALSE),"")</f>
        <v/>
      </c>
      <c r="C95" s="1" t="str">
        <f>IF(A95&lt;&gt;"",SUMIF(Lista1[Código],A95,Lista1[Qtd]),"")</f>
        <v/>
      </c>
      <c r="D95" s="1" t="str">
        <f t="shared" si="5"/>
        <v/>
      </c>
      <c r="E95" s="19" t="str">
        <f t="shared" si="6"/>
        <v xml:space="preserve"> </v>
      </c>
      <c r="G95" s="19" t="str">
        <f t="array" ref="G95">IFERROR(IF(ROWS($G$5:G93)&lt;=$G$5,INDEX(Lista2[Código],SMALL(IF(FREQUENCY(IF(Lista2[Código]&lt;&gt;"",
    MATCH("~"&amp;Lista2[Código]&amp;"",Lista2[Código]&amp;"",0)),ROW(Lista2[Código])-ROW(Inicio!$A$9)+1),ROW(Lista2[Código])-ROW(Inicio!$A$9)+1),
      ROWS($G$5:G93))),""),"")</f>
        <v/>
      </c>
      <c r="H95" s="19" t="str">
        <f>IFERROR(VLOOKUP(G95,Lista2[],2,FALSE),"")</f>
        <v/>
      </c>
      <c r="I95" s="1" t="str">
        <f>IF(G95&lt;&gt;"",SUMIF(Lista2[Código],G95,Lista2[Qtd]),"")</f>
        <v/>
      </c>
      <c r="J95" s="1" t="str">
        <f t="shared" si="7"/>
        <v/>
      </c>
      <c r="K95" s="19" t="str">
        <f t="shared" si="8"/>
        <v xml:space="preserve"> </v>
      </c>
    </row>
    <row r="96" spans="1:11" s="19" customFormat="1" x14ac:dyDescent="0.25">
      <c r="A96" s="19" t="str">
        <f t="array" ref="A96">IFERROR(IF(ROWS($A$5:A94)&lt;=$A$5,INDEX(Lista1[Código],SMALL(IF(FREQUENCY(IF(Lista1[Código]&lt;&gt;"",
    MATCH("~"&amp;Lista1[Código]&amp;"",Lista1[Código]&amp;"",0)),ROW(Lista1[Código])-ROW(Inicio!$A$9)+1),ROW(Lista1[Código])-ROW(Inicio!$A$9)+1),
      ROWS($A$5:A94))),""),"")</f>
        <v/>
      </c>
      <c r="B96" s="19" t="str">
        <f>IFERROR(VLOOKUP(A96,Lista1[],2,FALSE),"")</f>
        <v/>
      </c>
      <c r="C96" s="1" t="str">
        <f>IF(A96&lt;&gt;"",SUMIF(Lista1[Código],A96,Lista1[Qtd]),"")</f>
        <v/>
      </c>
      <c r="D96" s="1" t="str">
        <f t="shared" si="5"/>
        <v/>
      </c>
      <c r="E96" s="19" t="str">
        <f t="shared" si="6"/>
        <v xml:space="preserve"> </v>
      </c>
      <c r="G96" s="19" t="str">
        <f t="array" ref="G96">IFERROR(IF(ROWS($G$5:G94)&lt;=$G$5,INDEX(Lista2[Código],SMALL(IF(FREQUENCY(IF(Lista2[Código]&lt;&gt;"",
    MATCH("~"&amp;Lista2[Código]&amp;"",Lista2[Código]&amp;"",0)),ROW(Lista2[Código])-ROW(Inicio!$A$9)+1),ROW(Lista2[Código])-ROW(Inicio!$A$9)+1),
      ROWS($G$5:G94))),""),"")</f>
        <v/>
      </c>
      <c r="H96" s="19" t="str">
        <f>IFERROR(VLOOKUP(G96,Lista2[],2,FALSE),"")</f>
        <v/>
      </c>
      <c r="I96" s="1" t="str">
        <f>IF(G96&lt;&gt;"",SUMIF(Lista2[Código],G96,Lista2[Qtd]),"")</f>
        <v/>
      </c>
      <c r="J96" s="1" t="str">
        <f t="shared" si="7"/>
        <v/>
      </c>
      <c r="K96" s="19" t="str">
        <f t="shared" si="8"/>
        <v xml:space="preserve"> </v>
      </c>
    </row>
    <row r="97" spans="1:11" s="19" customFormat="1" x14ac:dyDescent="0.25">
      <c r="A97" s="19" t="str">
        <f t="array" ref="A97">IFERROR(IF(ROWS($A$5:A95)&lt;=$A$5,INDEX(Lista1[Código],SMALL(IF(FREQUENCY(IF(Lista1[Código]&lt;&gt;"",
    MATCH("~"&amp;Lista1[Código]&amp;"",Lista1[Código]&amp;"",0)),ROW(Lista1[Código])-ROW(Inicio!$A$9)+1),ROW(Lista1[Código])-ROW(Inicio!$A$9)+1),
      ROWS($A$5:A95))),""),"")</f>
        <v/>
      </c>
      <c r="B97" s="19" t="str">
        <f>IFERROR(VLOOKUP(A97,Lista1[],2,FALSE),"")</f>
        <v/>
      </c>
      <c r="C97" s="1" t="str">
        <f>IF(A97&lt;&gt;"",SUMIF(Lista1[Código],A97,Lista1[Qtd]),"")</f>
        <v/>
      </c>
      <c r="D97" s="1" t="str">
        <f t="shared" si="5"/>
        <v/>
      </c>
      <c r="E97" s="19" t="str">
        <f t="shared" si="6"/>
        <v xml:space="preserve"> </v>
      </c>
      <c r="G97" s="19" t="str">
        <f t="array" ref="G97">IFERROR(IF(ROWS($G$5:G95)&lt;=$G$5,INDEX(Lista2[Código],SMALL(IF(FREQUENCY(IF(Lista2[Código]&lt;&gt;"",
    MATCH("~"&amp;Lista2[Código]&amp;"",Lista2[Código]&amp;"",0)),ROW(Lista2[Código])-ROW(Inicio!$A$9)+1),ROW(Lista2[Código])-ROW(Inicio!$A$9)+1),
      ROWS($G$5:G95))),""),"")</f>
        <v/>
      </c>
      <c r="H97" s="19" t="str">
        <f>IFERROR(VLOOKUP(G97,Lista2[],2,FALSE),"")</f>
        <v/>
      </c>
      <c r="I97" s="1" t="str">
        <f>IF(G97&lt;&gt;"",SUMIF(Lista2[Código],G97,Lista2[Qtd]),"")</f>
        <v/>
      </c>
      <c r="J97" s="1" t="str">
        <f t="shared" si="7"/>
        <v/>
      </c>
      <c r="K97" s="19" t="str">
        <f t="shared" si="8"/>
        <v xml:space="preserve"> </v>
      </c>
    </row>
    <row r="98" spans="1:11" s="19" customFormat="1" x14ac:dyDescent="0.25">
      <c r="A98" s="19" t="str">
        <f t="array" ref="A98">IFERROR(IF(ROWS($A$5:A96)&lt;=$A$5,INDEX(Lista1[Código],SMALL(IF(FREQUENCY(IF(Lista1[Código]&lt;&gt;"",
    MATCH("~"&amp;Lista1[Código]&amp;"",Lista1[Código]&amp;"",0)),ROW(Lista1[Código])-ROW(Inicio!$A$9)+1),ROW(Lista1[Código])-ROW(Inicio!$A$9)+1),
      ROWS($A$5:A96))),""),"")</f>
        <v/>
      </c>
      <c r="B98" s="19" t="str">
        <f>IFERROR(VLOOKUP(A98,Lista1[],2,FALSE),"")</f>
        <v/>
      </c>
      <c r="C98" s="1" t="str">
        <f>IF(A98&lt;&gt;"",SUMIF(Lista1[Código],A98,Lista1[Qtd]),"")</f>
        <v/>
      </c>
      <c r="D98" s="1" t="str">
        <f t="shared" si="5"/>
        <v/>
      </c>
      <c r="E98" s="19" t="str">
        <f t="shared" si="6"/>
        <v xml:space="preserve"> </v>
      </c>
      <c r="G98" s="19" t="str">
        <f t="array" ref="G98">IFERROR(IF(ROWS($G$5:G96)&lt;=$G$5,INDEX(Lista2[Código],SMALL(IF(FREQUENCY(IF(Lista2[Código]&lt;&gt;"",
    MATCH("~"&amp;Lista2[Código]&amp;"",Lista2[Código]&amp;"",0)),ROW(Lista2[Código])-ROW(Inicio!$A$9)+1),ROW(Lista2[Código])-ROW(Inicio!$A$9)+1),
      ROWS($G$5:G96))),""),"")</f>
        <v/>
      </c>
      <c r="H98" s="19" t="str">
        <f>IFERROR(VLOOKUP(G98,Lista2[],2,FALSE),"")</f>
        <v/>
      </c>
      <c r="I98" s="1" t="str">
        <f>IF(G98&lt;&gt;"",SUMIF(Lista2[Código],G98,Lista2[Qtd]),"")</f>
        <v/>
      </c>
      <c r="J98" s="1" t="str">
        <f t="shared" si="7"/>
        <v/>
      </c>
      <c r="K98" s="19" t="str">
        <f t="shared" si="8"/>
        <v xml:space="preserve"> </v>
      </c>
    </row>
    <row r="99" spans="1:11" s="19" customFormat="1" x14ac:dyDescent="0.25">
      <c r="A99" s="19" t="str">
        <f t="array" ref="A99">IFERROR(IF(ROWS($A$5:A97)&lt;=$A$5,INDEX(Lista1[Código],SMALL(IF(FREQUENCY(IF(Lista1[Código]&lt;&gt;"",
    MATCH("~"&amp;Lista1[Código]&amp;"",Lista1[Código]&amp;"",0)),ROW(Lista1[Código])-ROW(Inicio!$A$9)+1),ROW(Lista1[Código])-ROW(Inicio!$A$9)+1),
      ROWS($A$5:A97))),""),"")</f>
        <v/>
      </c>
      <c r="B99" s="19" t="str">
        <f>IFERROR(VLOOKUP(A99,Lista1[],2,FALSE),"")</f>
        <v/>
      </c>
      <c r="C99" s="1" t="str">
        <f>IF(A99&lt;&gt;"",SUMIF(Lista1[Código],A99,Lista1[Qtd]),"")</f>
        <v/>
      </c>
      <c r="D99" s="1" t="str">
        <f t="shared" si="5"/>
        <v/>
      </c>
      <c r="E99" s="19" t="str">
        <f t="shared" si="6"/>
        <v xml:space="preserve"> </v>
      </c>
      <c r="G99" s="19" t="str">
        <f t="array" ref="G99">IFERROR(IF(ROWS($G$5:G97)&lt;=$G$5,INDEX(Lista2[Código],SMALL(IF(FREQUENCY(IF(Lista2[Código]&lt;&gt;"",
    MATCH("~"&amp;Lista2[Código]&amp;"",Lista2[Código]&amp;"",0)),ROW(Lista2[Código])-ROW(Inicio!$A$9)+1),ROW(Lista2[Código])-ROW(Inicio!$A$9)+1),
      ROWS($G$5:G97))),""),"")</f>
        <v/>
      </c>
      <c r="H99" s="19" t="str">
        <f>IFERROR(VLOOKUP(G99,Lista2[],2,FALSE),"")</f>
        <v/>
      </c>
      <c r="I99" s="1" t="str">
        <f>IF(G99&lt;&gt;"",SUMIF(Lista2[Código],G99,Lista2[Qtd]),"")</f>
        <v/>
      </c>
      <c r="J99" s="1" t="str">
        <f t="shared" si="7"/>
        <v/>
      </c>
      <c r="K99" s="19" t="str">
        <f t="shared" si="8"/>
        <v xml:space="preserve"> </v>
      </c>
    </row>
    <row r="100" spans="1:11" s="19" customFormat="1" x14ac:dyDescent="0.25">
      <c r="A100" s="19" t="str">
        <f t="array" ref="A100">IFERROR(IF(ROWS($A$5:A98)&lt;=$A$5,INDEX(Lista1[Código],SMALL(IF(FREQUENCY(IF(Lista1[Código]&lt;&gt;"",
    MATCH("~"&amp;Lista1[Código]&amp;"",Lista1[Código]&amp;"",0)),ROW(Lista1[Código])-ROW(Inicio!$A$9)+1),ROW(Lista1[Código])-ROW(Inicio!$A$9)+1),
      ROWS($A$5:A98))),""),"")</f>
        <v/>
      </c>
      <c r="B100" s="19" t="str">
        <f>IFERROR(VLOOKUP(A100,Lista1[],2,FALSE),"")</f>
        <v/>
      </c>
      <c r="C100" s="1" t="str">
        <f>IF(A100&lt;&gt;"",SUMIF(Lista1[Código],A100,Lista1[Qtd]),"")</f>
        <v/>
      </c>
      <c r="D100" s="1" t="str">
        <f t="shared" si="5"/>
        <v/>
      </c>
      <c r="E100" s="19" t="str">
        <f t="shared" si="6"/>
        <v xml:space="preserve"> </v>
      </c>
      <c r="G100" s="19" t="str">
        <f t="array" ref="G100">IFERROR(IF(ROWS($G$5:G98)&lt;=$G$5,INDEX(Lista2[Código],SMALL(IF(FREQUENCY(IF(Lista2[Código]&lt;&gt;"",
    MATCH("~"&amp;Lista2[Código]&amp;"",Lista2[Código]&amp;"",0)),ROW(Lista2[Código])-ROW(Inicio!$A$9)+1),ROW(Lista2[Código])-ROW(Inicio!$A$9)+1),
      ROWS($G$5:G98))),""),"")</f>
        <v/>
      </c>
      <c r="H100" s="19" t="str">
        <f>IFERROR(VLOOKUP(G100,Lista2[],2,FALSE),"")</f>
        <v/>
      </c>
      <c r="I100" s="1" t="str">
        <f>IF(G100&lt;&gt;"",SUMIF(Lista2[Código],G100,Lista2[Qtd]),"")</f>
        <v/>
      </c>
      <c r="J100" s="1" t="str">
        <f t="shared" si="7"/>
        <v/>
      </c>
      <c r="K100" s="19" t="str">
        <f t="shared" si="8"/>
        <v xml:space="preserve"> </v>
      </c>
    </row>
    <row r="101" spans="1:11" s="19" customFormat="1" x14ac:dyDescent="0.25">
      <c r="A101" s="19" t="str">
        <f t="array" ref="A101">IFERROR(IF(ROWS($A$5:A99)&lt;=$A$5,INDEX(Lista1[Código],SMALL(IF(FREQUENCY(IF(Lista1[Código]&lt;&gt;"",
    MATCH("~"&amp;Lista1[Código]&amp;"",Lista1[Código]&amp;"",0)),ROW(Lista1[Código])-ROW(Inicio!$A$9)+1),ROW(Lista1[Código])-ROW(Inicio!$A$9)+1),
      ROWS($A$5:A99))),""),"")</f>
        <v/>
      </c>
      <c r="B101" s="19" t="str">
        <f>IFERROR(VLOOKUP(A101,Lista1[],2,FALSE),"")</f>
        <v/>
      </c>
      <c r="C101" s="1" t="str">
        <f>IF(A101&lt;&gt;"",SUMIF(Lista1[Código],A101,Lista1[Qtd]),"")</f>
        <v/>
      </c>
      <c r="D101" s="1" t="str">
        <f t="shared" si="5"/>
        <v/>
      </c>
      <c r="E101" s="19" t="str">
        <f t="shared" si="6"/>
        <v xml:space="preserve"> </v>
      </c>
      <c r="G101" s="19" t="str">
        <f t="array" ref="G101">IFERROR(IF(ROWS($G$5:G99)&lt;=$G$5,INDEX(Lista2[Código],SMALL(IF(FREQUENCY(IF(Lista2[Código]&lt;&gt;"",
    MATCH("~"&amp;Lista2[Código]&amp;"",Lista2[Código]&amp;"",0)),ROW(Lista2[Código])-ROW(Inicio!$A$9)+1),ROW(Lista2[Código])-ROW(Inicio!$A$9)+1),
      ROWS($G$5:G99))),""),"")</f>
        <v/>
      </c>
      <c r="H101" s="19" t="str">
        <f>IFERROR(VLOOKUP(G101,Lista2[],2,FALSE),"")</f>
        <v/>
      </c>
      <c r="I101" s="1" t="str">
        <f>IF(G101&lt;&gt;"",SUMIF(Lista2[Código],G101,Lista2[Qtd]),"")</f>
        <v/>
      </c>
      <c r="J101" s="1" t="str">
        <f t="shared" si="7"/>
        <v/>
      </c>
      <c r="K101" s="19" t="str">
        <f t="shared" si="8"/>
        <v xml:space="preserve"> </v>
      </c>
    </row>
    <row r="102" spans="1:11" s="19" customFormat="1" x14ac:dyDescent="0.25">
      <c r="A102" s="19" t="str">
        <f t="array" ref="A102">IFERROR(IF(ROWS($A$5:A100)&lt;=$A$5,INDEX(Lista1[Código],SMALL(IF(FREQUENCY(IF(Lista1[Código]&lt;&gt;"",
    MATCH("~"&amp;Lista1[Código]&amp;"",Lista1[Código]&amp;"",0)),ROW(Lista1[Código])-ROW(Inicio!$A$9)+1),ROW(Lista1[Código])-ROW(Inicio!$A$9)+1),
      ROWS($A$5:A100))),""),"")</f>
        <v/>
      </c>
      <c r="B102" s="19" t="str">
        <f>IFERROR(VLOOKUP(A102,Lista1[],2,FALSE),"")</f>
        <v/>
      </c>
      <c r="C102" s="1" t="str">
        <f>IF(A102&lt;&gt;"",SUMIF(Lista1[Código],A102,Lista1[Qtd]),"")</f>
        <v/>
      </c>
      <c r="D102" s="1" t="str">
        <f t="shared" si="5"/>
        <v/>
      </c>
      <c r="E102" s="19" t="str">
        <f t="shared" si="6"/>
        <v xml:space="preserve"> </v>
      </c>
      <c r="G102" s="19" t="str">
        <f t="array" ref="G102">IFERROR(IF(ROWS($G$5:G100)&lt;=$G$5,INDEX(Lista2[Código],SMALL(IF(FREQUENCY(IF(Lista2[Código]&lt;&gt;"",
    MATCH("~"&amp;Lista2[Código]&amp;"",Lista2[Código]&amp;"",0)),ROW(Lista2[Código])-ROW(Inicio!$A$9)+1),ROW(Lista2[Código])-ROW(Inicio!$A$9)+1),
      ROWS($G$5:G100))),""),"")</f>
        <v/>
      </c>
      <c r="H102" s="19" t="str">
        <f>IFERROR(VLOOKUP(G102,Lista2[],2,FALSE),"")</f>
        <v/>
      </c>
      <c r="I102" s="1" t="str">
        <f>IF(G102&lt;&gt;"",SUMIF(Lista2[Código],G102,Lista2[Qtd]),"")</f>
        <v/>
      </c>
      <c r="J102" s="1" t="str">
        <f t="shared" si="7"/>
        <v/>
      </c>
      <c r="K102" s="19" t="str">
        <f t="shared" si="8"/>
        <v xml:space="preserve"> </v>
      </c>
    </row>
    <row r="103" spans="1:11" s="19" customFormat="1" x14ac:dyDescent="0.25">
      <c r="A103" s="19" t="str">
        <f t="array" ref="A103">IFERROR(IF(ROWS($A$5:A101)&lt;=$A$5,INDEX(Lista1[Código],SMALL(IF(FREQUENCY(IF(Lista1[Código]&lt;&gt;"",
    MATCH("~"&amp;Lista1[Código]&amp;"",Lista1[Código]&amp;"",0)),ROW(Lista1[Código])-ROW(Inicio!$A$9)+1),ROW(Lista1[Código])-ROW(Inicio!$A$9)+1),
      ROWS($A$5:A101))),""),"")</f>
        <v/>
      </c>
      <c r="B103" s="19" t="str">
        <f>IFERROR(VLOOKUP(A103,Lista1[],2,FALSE),"")</f>
        <v/>
      </c>
      <c r="C103" s="1" t="str">
        <f>IF(A103&lt;&gt;"",SUMIF(Lista1[Código],A103,Lista1[Qtd]),"")</f>
        <v/>
      </c>
      <c r="D103" s="1" t="str">
        <f t="shared" ref="D103:D134" si="9">IF(A103="","",IFERROR(INDEX($G$7:$I$200,MATCH(A103,$G$7:$G$200,0),3),0))</f>
        <v/>
      </c>
      <c r="E103" s="19" t="str">
        <f t="shared" si="6"/>
        <v xml:space="preserve"> </v>
      </c>
      <c r="G103" s="19" t="str">
        <f t="array" ref="G103">IFERROR(IF(ROWS($G$5:G101)&lt;=$G$5,INDEX(Lista2[Código],SMALL(IF(FREQUENCY(IF(Lista2[Código]&lt;&gt;"",
    MATCH("~"&amp;Lista2[Código]&amp;"",Lista2[Código]&amp;"",0)),ROW(Lista2[Código])-ROW(Inicio!$A$9)+1),ROW(Lista2[Código])-ROW(Inicio!$A$9)+1),
      ROWS($G$5:G101))),""),"")</f>
        <v/>
      </c>
      <c r="H103" s="19" t="str">
        <f>IFERROR(VLOOKUP(G103,Lista2[],2,FALSE),"")</f>
        <v/>
      </c>
      <c r="I103" s="1" t="str">
        <f>IF(G103&lt;&gt;"",SUMIF(Lista2[Código],G103,Lista2[Qtd]),"")</f>
        <v/>
      </c>
      <c r="J103" s="1" t="str">
        <f t="shared" si="7"/>
        <v/>
      </c>
      <c r="K103" s="19" t="str">
        <f t="shared" si="8"/>
        <v xml:space="preserve"> </v>
      </c>
    </row>
    <row r="104" spans="1:11" s="19" customFormat="1" x14ac:dyDescent="0.25">
      <c r="A104" s="19" t="str">
        <f t="array" ref="A104">IFERROR(IF(ROWS($A$5:A102)&lt;=$A$5,INDEX(Lista1[Código],SMALL(IF(FREQUENCY(IF(Lista1[Código]&lt;&gt;"",
    MATCH("~"&amp;Lista1[Código]&amp;"",Lista1[Código]&amp;"",0)),ROW(Lista1[Código])-ROW(Inicio!$A$9)+1),ROW(Lista1[Código])-ROW(Inicio!$A$9)+1),
      ROWS($A$5:A102))),""),"")</f>
        <v/>
      </c>
      <c r="B104" s="19" t="str">
        <f>IFERROR(VLOOKUP(A104,Lista1[],2,FALSE),"")</f>
        <v/>
      </c>
      <c r="C104" s="1" t="str">
        <f>IF(A104&lt;&gt;"",SUMIF(Lista1[Código],A104,Lista1[Qtd]),"")</f>
        <v/>
      </c>
      <c r="D104" s="1" t="str">
        <f t="shared" si="9"/>
        <v/>
      </c>
      <c r="E104" s="19" t="str">
        <f t="shared" si="6"/>
        <v xml:space="preserve"> </v>
      </c>
      <c r="G104" s="19" t="str">
        <f t="array" ref="G104">IFERROR(IF(ROWS($G$5:G102)&lt;=$G$5,INDEX(Lista2[Código],SMALL(IF(FREQUENCY(IF(Lista2[Código]&lt;&gt;"",
    MATCH("~"&amp;Lista2[Código]&amp;"",Lista2[Código]&amp;"",0)),ROW(Lista2[Código])-ROW(Inicio!$A$9)+1),ROW(Lista2[Código])-ROW(Inicio!$A$9)+1),
      ROWS($G$5:G102))),""),"")</f>
        <v/>
      </c>
      <c r="H104" s="19" t="str">
        <f>IFERROR(VLOOKUP(G104,Lista2[],2,FALSE),"")</f>
        <v/>
      </c>
      <c r="I104" s="1" t="str">
        <f>IF(G104&lt;&gt;"",SUMIF(Lista2[Código],G104,Lista2[Qtd]),"")</f>
        <v/>
      </c>
      <c r="J104" s="1" t="str">
        <f t="shared" si="7"/>
        <v/>
      </c>
      <c r="K104" s="19" t="str">
        <f t="shared" si="8"/>
        <v xml:space="preserve"> </v>
      </c>
    </row>
    <row r="105" spans="1:11" s="19" customFormat="1" x14ac:dyDescent="0.25">
      <c r="A105" s="19" t="str">
        <f t="array" ref="A105">IFERROR(IF(ROWS($A$5:A103)&lt;=$A$5,INDEX(Lista1[Código],SMALL(IF(FREQUENCY(IF(Lista1[Código]&lt;&gt;"",
    MATCH("~"&amp;Lista1[Código]&amp;"",Lista1[Código]&amp;"",0)),ROW(Lista1[Código])-ROW(Inicio!$A$9)+1),ROW(Lista1[Código])-ROW(Inicio!$A$9)+1),
      ROWS($A$5:A103))),""),"")</f>
        <v/>
      </c>
      <c r="B105" s="19" t="str">
        <f>IFERROR(VLOOKUP(A105,Lista1[],2,FALSE),"")</f>
        <v/>
      </c>
      <c r="C105" s="1" t="str">
        <f>IF(A105&lt;&gt;"",SUMIF(Lista1[Código],A105,Lista1[Qtd]),"")</f>
        <v/>
      </c>
      <c r="D105" s="1" t="str">
        <f t="shared" si="9"/>
        <v/>
      </c>
      <c r="E105" s="19" t="str">
        <f t="shared" si="6"/>
        <v xml:space="preserve"> </v>
      </c>
      <c r="G105" s="19" t="str">
        <f t="array" ref="G105">IFERROR(IF(ROWS($G$5:G103)&lt;=$G$5,INDEX(Lista2[Código],SMALL(IF(FREQUENCY(IF(Lista2[Código]&lt;&gt;"",
    MATCH("~"&amp;Lista2[Código]&amp;"",Lista2[Código]&amp;"",0)),ROW(Lista2[Código])-ROW(Inicio!$A$9)+1),ROW(Lista2[Código])-ROW(Inicio!$A$9)+1),
      ROWS($G$5:G103))),""),"")</f>
        <v/>
      </c>
      <c r="H105" s="19" t="str">
        <f>IFERROR(VLOOKUP(G105,Lista2[],2,FALSE),"")</f>
        <v/>
      </c>
      <c r="I105" s="1" t="str">
        <f>IF(G105&lt;&gt;"",SUMIF(Lista2[Código],G105,Lista2[Qtd]),"")</f>
        <v/>
      </c>
      <c r="J105" s="1" t="str">
        <f t="shared" si="7"/>
        <v/>
      </c>
      <c r="K105" s="19" t="str">
        <f t="shared" si="8"/>
        <v xml:space="preserve"> </v>
      </c>
    </row>
    <row r="106" spans="1:11" s="19" customFormat="1" x14ac:dyDescent="0.25">
      <c r="A106" s="19" t="str">
        <f t="array" ref="A106">IFERROR(IF(ROWS($A$5:A104)&lt;=$A$5,INDEX(Lista1[Código],SMALL(IF(FREQUENCY(IF(Lista1[Código]&lt;&gt;"",
    MATCH("~"&amp;Lista1[Código]&amp;"",Lista1[Código]&amp;"",0)),ROW(Lista1[Código])-ROW(Inicio!$A$9)+1),ROW(Lista1[Código])-ROW(Inicio!$A$9)+1),
      ROWS($A$5:A104))),""),"")</f>
        <v/>
      </c>
      <c r="B106" s="19" t="str">
        <f>IFERROR(VLOOKUP(A106,Lista1[],2,FALSE),"")</f>
        <v/>
      </c>
      <c r="C106" s="1" t="str">
        <f>IF(A106&lt;&gt;"",SUMIF(Lista1[Código],A106,Lista1[Qtd]),"")</f>
        <v/>
      </c>
      <c r="D106" s="1" t="str">
        <f t="shared" si="9"/>
        <v/>
      </c>
      <c r="E106" s="19" t="str">
        <f t="shared" si="6"/>
        <v xml:space="preserve"> </v>
      </c>
      <c r="G106" s="19" t="str">
        <f t="array" ref="G106">IFERROR(IF(ROWS($G$5:G104)&lt;=$G$5,INDEX(Lista2[Código],SMALL(IF(FREQUENCY(IF(Lista2[Código]&lt;&gt;"",
    MATCH("~"&amp;Lista2[Código]&amp;"",Lista2[Código]&amp;"",0)),ROW(Lista2[Código])-ROW(Inicio!$A$9)+1),ROW(Lista2[Código])-ROW(Inicio!$A$9)+1),
      ROWS($G$5:G104))),""),"")</f>
        <v/>
      </c>
      <c r="H106" s="19" t="str">
        <f>IFERROR(VLOOKUP(G106,Lista2[],2,FALSE),"")</f>
        <v/>
      </c>
      <c r="I106" s="1" t="str">
        <f>IF(G106&lt;&gt;"",SUMIF(Lista2[Código],G106,Lista2[Qtd]),"")</f>
        <v/>
      </c>
      <c r="J106" s="1" t="str">
        <f t="shared" si="7"/>
        <v/>
      </c>
      <c r="K106" s="19" t="str">
        <f t="shared" si="8"/>
        <v xml:space="preserve"> </v>
      </c>
    </row>
    <row r="107" spans="1:11" s="19" customFormat="1" x14ac:dyDescent="0.25">
      <c r="A107" s="19" t="str">
        <f t="array" ref="A107">IFERROR(IF(ROWS($A$5:A105)&lt;=$A$5,INDEX(Lista1[Código],SMALL(IF(FREQUENCY(IF(Lista1[Código]&lt;&gt;"",
    MATCH("~"&amp;Lista1[Código]&amp;"",Lista1[Código]&amp;"",0)),ROW(Lista1[Código])-ROW(Inicio!$A$9)+1),ROW(Lista1[Código])-ROW(Inicio!$A$9)+1),
      ROWS($A$5:A105))),""),"")</f>
        <v/>
      </c>
      <c r="B107" s="19" t="str">
        <f>IFERROR(VLOOKUP(A107,Lista1[],2,FALSE),"")</f>
        <v/>
      </c>
      <c r="C107" s="1" t="str">
        <f>IF(A107&lt;&gt;"",SUMIF(Lista1[Código],A107,Lista1[Qtd]),"")</f>
        <v/>
      </c>
      <c r="D107" s="1" t="str">
        <f t="shared" si="9"/>
        <v/>
      </c>
      <c r="E107" s="19" t="str">
        <f t="shared" si="6"/>
        <v xml:space="preserve"> </v>
      </c>
      <c r="G107" s="19" t="str">
        <f t="array" ref="G107">IFERROR(IF(ROWS($G$5:G105)&lt;=$G$5,INDEX(Lista2[Código],SMALL(IF(FREQUENCY(IF(Lista2[Código]&lt;&gt;"",
    MATCH("~"&amp;Lista2[Código]&amp;"",Lista2[Código]&amp;"",0)),ROW(Lista2[Código])-ROW(Inicio!$A$9)+1),ROW(Lista2[Código])-ROW(Inicio!$A$9)+1),
      ROWS($G$5:G105))),""),"")</f>
        <v/>
      </c>
      <c r="H107" s="19" t="str">
        <f>IFERROR(VLOOKUP(G107,Lista2[],2,FALSE),"")</f>
        <v/>
      </c>
      <c r="I107" s="1" t="str">
        <f>IF(G107&lt;&gt;"",SUMIF(Lista2[Código],G107,Lista2[Qtd]),"")</f>
        <v/>
      </c>
      <c r="J107" s="1" t="str">
        <f t="shared" si="7"/>
        <v/>
      </c>
      <c r="K107" s="19" t="str">
        <f t="shared" si="8"/>
        <v xml:space="preserve"> </v>
      </c>
    </row>
    <row r="108" spans="1:11" s="19" customFormat="1" x14ac:dyDescent="0.25">
      <c r="A108" s="19" t="str">
        <f t="array" ref="A108">IFERROR(IF(ROWS($A$5:A106)&lt;=$A$5,INDEX(Lista1[Código],SMALL(IF(FREQUENCY(IF(Lista1[Código]&lt;&gt;"",
    MATCH("~"&amp;Lista1[Código]&amp;"",Lista1[Código]&amp;"",0)),ROW(Lista1[Código])-ROW(Inicio!$A$9)+1),ROW(Lista1[Código])-ROW(Inicio!$A$9)+1),
      ROWS($A$5:A106))),""),"")</f>
        <v/>
      </c>
      <c r="B108" s="19" t="str">
        <f>IFERROR(VLOOKUP(A108,Lista1[],2,FALSE),"")</f>
        <v/>
      </c>
      <c r="C108" s="1" t="str">
        <f>IF(A108&lt;&gt;"",SUMIF(Lista1[Código],A108,Lista1[Qtd]),"")</f>
        <v/>
      </c>
      <c r="D108" s="1" t="str">
        <f t="shared" si="9"/>
        <v/>
      </c>
      <c r="E108" s="19" t="str">
        <f t="shared" si="6"/>
        <v xml:space="preserve"> </v>
      </c>
      <c r="G108" s="19" t="str">
        <f t="array" ref="G108">IFERROR(IF(ROWS($G$5:G106)&lt;=$G$5,INDEX(Lista2[Código],SMALL(IF(FREQUENCY(IF(Lista2[Código]&lt;&gt;"",
    MATCH("~"&amp;Lista2[Código]&amp;"",Lista2[Código]&amp;"",0)),ROW(Lista2[Código])-ROW(Inicio!$A$9)+1),ROW(Lista2[Código])-ROW(Inicio!$A$9)+1),
      ROWS($G$5:G106))),""),"")</f>
        <v/>
      </c>
      <c r="H108" s="19" t="str">
        <f>IFERROR(VLOOKUP(G108,Lista2[],2,FALSE),"")</f>
        <v/>
      </c>
      <c r="I108" s="1" t="str">
        <f>IF(G108&lt;&gt;"",SUMIF(Lista2[Código],G108,Lista2[Qtd]),"")</f>
        <v/>
      </c>
      <c r="J108" s="1" t="str">
        <f t="shared" si="7"/>
        <v/>
      </c>
      <c r="K108" s="19" t="str">
        <f t="shared" si="8"/>
        <v xml:space="preserve"> </v>
      </c>
    </row>
    <row r="109" spans="1:11" s="19" customFormat="1" x14ac:dyDescent="0.25">
      <c r="A109" s="19" t="str">
        <f t="array" ref="A109">IFERROR(IF(ROWS($A$5:A107)&lt;=$A$5,INDEX(Lista1[Código],SMALL(IF(FREQUENCY(IF(Lista1[Código]&lt;&gt;"",
    MATCH("~"&amp;Lista1[Código]&amp;"",Lista1[Código]&amp;"",0)),ROW(Lista1[Código])-ROW(Inicio!$A$9)+1),ROW(Lista1[Código])-ROW(Inicio!$A$9)+1),
      ROWS($A$5:A107))),""),"")</f>
        <v/>
      </c>
      <c r="B109" s="19" t="str">
        <f>IFERROR(VLOOKUP(A109,Lista1[],2,FALSE),"")</f>
        <v/>
      </c>
      <c r="C109" s="1" t="str">
        <f>IF(A109&lt;&gt;"",SUMIF(Lista1[Código],A109,Lista1[Qtd]),"")</f>
        <v/>
      </c>
      <c r="D109" s="1" t="str">
        <f t="shared" si="9"/>
        <v/>
      </c>
      <c r="E109" s="19" t="str">
        <f t="shared" si="6"/>
        <v xml:space="preserve"> </v>
      </c>
      <c r="G109" s="19" t="str">
        <f t="array" ref="G109">IFERROR(IF(ROWS($G$5:G107)&lt;=$G$5,INDEX(Lista2[Código],SMALL(IF(FREQUENCY(IF(Lista2[Código]&lt;&gt;"",
    MATCH("~"&amp;Lista2[Código]&amp;"",Lista2[Código]&amp;"",0)),ROW(Lista2[Código])-ROW(Inicio!$A$9)+1),ROW(Lista2[Código])-ROW(Inicio!$A$9)+1),
      ROWS($G$5:G107))),""),"")</f>
        <v/>
      </c>
      <c r="H109" s="19" t="str">
        <f>IFERROR(VLOOKUP(G109,Lista2[],2,FALSE),"")</f>
        <v/>
      </c>
      <c r="I109" s="1" t="str">
        <f>IF(G109&lt;&gt;"",SUMIF(Lista2[Código],G109,Lista2[Qtd]),"")</f>
        <v/>
      </c>
      <c r="J109" s="1" t="str">
        <f t="shared" si="7"/>
        <v/>
      </c>
      <c r="K109" s="19" t="str">
        <f t="shared" si="8"/>
        <v xml:space="preserve"> </v>
      </c>
    </row>
    <row r="110" spans="1:11" s="19" customFormat="1" x14ac:dyDescent="0.25">
      <c r="A110" s="19" t="str">
        <f t="array" ref="A110">IFERROR(IF(ROWS($A$5:A108)&lt;=$A$5,INDEX(Lista1[Código],SMALL(IF(FREQUENCY(IF(Lista1[Código]&lt;&gt;"",
    MATCH("~"&amp;Lista1[Código]&amp;"",Lista1[Código]&amp;"",0)),ROW(Lista1[Código])-ROW(Inicio!$A$9)+1),ROW(Lista1[Código])-ROW(Inicio!$A$9)+1),
      ROWS($A$5:A108))),""),"")</f>
        <v/>
      </c>
      <c r="B110" s="19" t="str">
        <f>IFERROR(VLOOKUP(A110,Lista1[],2,FALSE),"")</f>
        <v/>
      </c>
      <c r="C110" s="1" t="str">
        <f>IF(A110&lt;&gt;"",SUMIF(Lista1[Código],A110,Lista1[Qtd]),"")</f>
        <v/>
      </c>
      <c r="D110" s="1" t="str">
        <f t="shared" si="9"/>
        <v/>
      </c>
      <c r="E110" s="19" t="str">
        <f t="shared" si="6"/>
        <v xml:space="preserve"> </v>
      </c>
      <c r="G110" s="19" t="str">
        <f t="array" ref="G110">IFERROR(IF(ROWS($G$5:G108)&lt;=$G$5,INDEX(Lista2[Código],SMALL(IF(FREQUENCY(IF(Lista2[Código]&lt;&gt;"",
    MATCH("~"&amp;Lista2[Código]&amp;"",Lista2[Código]&amp;"",0)),ROW(Lista2[Código])-ROW(Inicio!$A$9)+1),ROW(Lista2[Código])-ROW(Inicio!$A$9)+1),
      ROWS($G$5:G108))),""),"")</f>
        <v/>
      </c>
      <c r="H110" s="19" t="str">
        <f>IFERROR(VLOOKUP(G110,Lista2[],2,FALSE),"")</f>
        <v/>
      </c>
      <c r="I110" s="1" t="str">
        <f>IF(G110&lt;&gt;"",SUMIF(Lista2[Código],G110,Lista2[Qtd]),"")</f>
        <v/>
      </c>
      <c r="J110" s="1" t="str">
        <f t="shared" si="7"/>
        <v/>
      </c>
      <c r="K110" s="19" t="str">
        <f t="shared" si="8"/>
        <v xml:space="preserve"> </v>
      </c>
    </row>
    <row r="111" spans="1:11" s="19" customFormat="1" x14ac:dyDescent="0.25">
      <c r="A111" s="19" t="str">
        <f t="array" ref="A111">IFERROR(IF(ROWS($A$5:A109)&lt;=$A$5,INDEX(Lista1[Código],SMALL(IF(FREQUENCY(IF(Lista1[Código]&lt;&gt;"",
    MATCH("~"&amp;Lista1[Código]&amp;"",Lista1[Código]&amp;"",0)),ROW(Lista1[Código])-ROW(Inicio!$A$9)+1),ROW(Lista1[Código])-ROW(Inicio!$A$9)+1),
      ROWS($A$5:A109))),""),"")</f>
        <v/>
      </c>
      <c r="B111" s="19" t="str">
        <f>IFERROR(VLOOKUP(A111,Lista1[],2,FALSE),"")</f>
        <v/>
      </c>
      <c r="C111" s="1" t="str">
        <f>IF(A111&lt;&gt;"",SUMIF(Lista1[Código],A111,Lista1[Qtd]),"")</f>
        <v/>
      </c>
      <c r="D111" s="1" t="str">
        <f t="shared" si="9"/>
        <v/>
      </c>
      <c r="E111" s="19" t="str">
        <f t="shared" si="6"/>
        <v xml:space="preserve"> </v>
      </c>
      <c r="G111" s="19" t="str">
        <f t="array" ref="G111">IFERROR(IF(ROWS($G$5:G109)&lt;=$G$5,INDEX(Lista2[Código],SMALL(IF(FREQUENCY(IF(Lista2[Código]&lt;&gt;"",
    MATCH("~"&amp;Lista2[Código]&amp;"",Lista2[Código]&amp;"",0)),ROW(Lista2[Código])-ROW(Inicio!$A$9)+1),ROW(Lista2[Código])-ROW(Inicio!$A$9)+1),
      ROWS($G$5:G109))),""),"")</f>
        <v/>
      </c>
      <c r="H111" s="19" t="str">
        <f>IFERROR(VLOOKUP(G111,Lista2[],2,FALSE),"")</f>
        <v/>
      </c>
      <c r="I111" s="1" t="str">
        <f>IF(G111&lt;&gt;"",SUMIF(Lista2[Código],G111,Lista2[Qtd]),"")</f>
        <v/>
      </c>
      <c r="J111" s="1" t="str">
        <f t="shared" si="7"/>
        <v/>
      </c>
      <c r="K111" s="19" t="str">
        <f t="shared" si="8"/>
        <v xml:space="preserve"> </v>
      </c>
    </row>
    <row r="112" spans="1:11" s="19" customFormat="1" x14ac:dyDescent="0.25">
      <c r="A112" s="19" t="str">
        <f t="array" ref="A112">IFERROR(IF(ROWS($A$5:A110)&lt;=$A$5,INDEX(Lista1[Código],SMALL(IF(FREQUENCY(IF(Lista1[Código]&lt;&gt;"",
    MATCH("~"&amp;Lista1[Código]&amp;"",Lista1[Código]&amp;"",0)),ROW(Lista1[Código])-ROW(Inicio!$A$9)+1),ROW(Lista1[Código])-ROW(Inicio!$A$9)+1),
      ROWS($A$5:A110))),""),"")</f>
        <v/>
      </c>
      <c r="B112" s="19" t="str">
        <f>IFERROR(VLOOKUP(A112,Lista1[],2,FALSE),"")</f>
        <v/>
      </c>
      <c r="C112" s="1" t="str">
        <f>IF(A112&lt;&gt;"",SUMIF(Lista1[Código],A112,Lista1[Qtd]),"")</f>
        <v/>
      </c>
      <c r="D112" s="1" t="str">
        <f t="shared" si="9"/>
        <v/>
      </c>
      <c r="E112" s="19" t="str">
        <f t="shared" si="6"/>
        <v xml:space="preserve"> </v>
      </c>
      <c r="G112" s="19" t="str">
        <f t="array" ref="G112">IFERROR(IF(ROWS($G$5:G110)&lt;=$G$5,INDEX(Lista2[Código],SMALL(IF(FREQUENCY(IF(Lista2[Código]&lt;&gt;"",
    MATCH("~"&amp;Lista2[Código]&amp;"",Lista2[Código]&amp;"",0)),ROW(Lista2[Código])-ROW(Inicio!$A$9)+1),ROW(Lista2[Código])-ROW(Inicio!$A$9)+1),
      ROWS($G$5:G110))),""),"")</f>
        <v/>
      </c>
      <c r="H112" s="19" t="str">
        <f>IFERROR(VLOOKUP(G112,Lista2[],2,FALSE),"")</f>
        <v/>
      </c>
      <c r="I112" s="1" t="str">
        <f>IF(G112&lt;&gt;"",SUMIF(Lista2[Código],G112,Lista2[Qtd]),"")</f>
        <v/>
      </c>
      <c r="J112" s="1" t="str">
        <f t="shared" si="7"/>
        <v/>
      </c>
      <c r="K112" s="19" t="str">
        <f t="shared" si="8"/>
        <v xml:space="preserve"> </v>
      </c>
    </row>
    <row r="113" spans="1:11" s="19" customFormat="1" x14ac:dyDescent="0.25">
      <c r="A113" s="19" t="str">
        <f t="array" ref="A113">IFERROR(IF(ROWS($A$5:A111)&lt;=$A$5,INDEX(Lista1[Código],SMALL(IF(FREQUENCY(IF(Lista1[Código]&lt;&gt;"",
    MATCH("~"&amp;Lista1[Código]&amp;"",Lista1[Código]&amp;"",0)),ROW(Lista1[Código])-ROW(Inicio!$A$9)+1),ROW(Lista1[Código])-ROW(Inicio!$A$9)+1),
      ROWS($A$5:A111))),""),"")</f>
        <v/>
      </c>
      <c r="B113" s="19" t="str">
        <f>IFERROR(VLOOKUP(A113,Lista1[],2,FALSE),"")</f>
        <v/>
      </c>
      <c r="C113" s="1" t="str">
        <f>IF(A113&lt;&gt;"",SUMIF(Lista1[Código],A113,Lista1[Qtd]),"")</f>
        <v/>
      </c>
      <c r="D113" s="1" t="str">
        <f t="shared" si="9"/>
        <v/>
      </c>
      <c r="E113" s="19" t="str">
        <f t="shared" si="6"/>
        <v xml:space="preserve"> </v>
      </c>
      <c r="G113" s="19" t="str">
        <f t="array" ref="G113">IFERROR(IF(ROWS($G$5:G111)&lt;=$G$5,INDEX(Lista2[Código],SMALL(IF(FREQUENCY(IF(Lista2[Código]&lt;&gt;"",
    MATCH("~"&amp;Lista2[Código]&amp;"",Lista2[Código]&amp;"",0)),ROW(Lista2[Código])-ROW(Inicio!$A$9)+1),ROW(Lista2[Código])-ROW(Inicio!$A$9)+1),
      ROWS($G$5:G111))),""),"")</f>
        <v/>
      </c>
      <c r="H113" s="19" t="str">
        <f>IFERROR(VLOOKUP(G113,Lista2[],2,FALSE),"")</f>
        <v/>
      </c>
      <c r="I113" s="1" t="str">
        <f>IF(G113&lt;&gt;"",SUMIF(Lista2[Código],G113,Lista2[Qtd]),"")</f>
        <v/>
      </c>
      <c r="J113" s="1" t="str">
        <f t="shared" si="7"/>
        <v/>
      </c>
      <c r="K113" s="19" t="str">
        <f t="shared" si="8"/>
        <v xml:space="preserve"> </v>
      </c>
    </row>
    <row r="114" spans="1:11" s="19" customFormat="1" x14ac:dyDescent="0.25">
      <c r="A114" s="19" t="str">
        <f t="array" ref="A114">IFERROR(IF(ROWS($A$5:A112)&lt;=$A$5,INDEX(Lista1[Código],SMALL(IF(FREQUENCY(IF(Lista1[Código]&lt;&gt;"",
    MATCH("~"&amp;Lista1[Código]&amp;"",Lista1[Código]&amp;"",0)),ROW(Lista1[Código])-ROW(Inicio!$A$9)+1),ROW(Lista1[Código])-ROW(Inicio!$A$9)+1),
      ROWS($A$5:A112))),""),"")</f>
        <v/>
      </c>
      <c r="B114" s="19" t="str">
        <f>IFERROR(VLOOKUP(A114,Lista1[],2,FALSE),"")</f>
        <v/>
      </c>
      <c r="C114" s="1" t="str">
        <f>IF(A114&lt;&gt;"",SUMIF(Lista1[Código],A114,Lista1[Qtd]),"")</f>
        <v/>
      </c>
      <c r="D114" s="1" t="str">
        <f t="shared" si="9"/>
        <v/>
      </c>
      <c r="E114" s="19" t="str">
        <f t="shared" si="6"/>
        <v xml:space="preserve"> </v>
      </c>
      <c r="G114" s="19" t="str">
        <f t="array" ref="G114">IFERROR(IF(ROWS($G$5:G112)&lt;=$G$5,INDEX(Lista2[Código],SMALL(IF(FREQUENCY(IF(Lista2[Código]&lt;&gt;"",
    MATCH("~"&amp;Lista2[Código]&amp;"",Lista2[Código]&amp;"",0)),ROW(Lista2[Código])-ROW(Inicio!$A$9)+1),ROW(Lista2[Código])-ROW(Inicio!$A$9)+1),
      ROWS($G$5:G112))),""),"")</f>
        <v/>
      </c>
      <c r="H114" s="19" t="str">
        <f>IFERROR(VLOOKUP(G114,Lista2[],2,FALSE),"")</f>
        <v/>
      </c>
      <c r="I114" s="1" t="str">
        <f>IF(G114&lt;&gt;"",SUMIF(Lista2[Código],G114,Lista2[Qtd]),"")</f>
        <v/>
      </c>
      <c r="J114" s="1" t="str">
        <f t="shared" si="7"/>
        <v/>
      </c>
      <c r="K114" s="19" t="str">
        <f t="shared" si="8"/>
        <v xml:space="preserve"> </v>
      </c>
    </row>
    <row r="115" spans="1:11" s="19" customFormat="1" x14ac:dyDescent="0.25">
      <c r="A115" s="19" t="str">
        <f t="array" ref="A115">IFERROR(IF(ROWS($A$5:A113)&lt;=$A$5,INDEX(Lista1[Código],SMALL(IF(FREQUENCY(IF(Lista1[Código]&lt;&gt;"",
    MATCH("~"&amp;Lista1[Código]&amp;"",Lista1[Código]&amp;"",0)),ROW(Lista1[Código])-ROW(Inicio!$A$9)+1),ROW(Lista1[Código])-ROW(Inicio!$A$9)+1),
      ROWS($A$5:A113))),""),"")</f>
        <v/>
      </c>
      <c r="B115" s="19" t="str">
        <f>IFERROR(VLOOKUP(A115,Lista1[],2,FALSE),"")</f>
        <v/>
      </c>
      <c r="C115" s="1" t="str">
        <f>IF(A115&lt;&gt;"",SUMIF(Lista1[Código],A115,Lista1[Qtd]),"")</f>
        <v/>
      </c>
      <c r="D115" s="1" t="str">
        <f t="shared" si="9"/>
        <v/>
      </c>
      <c r="E115" s="19" t="str">
        <f t="shared" si="6"/>
        <v xml:space="preserve"> </v>
      </c>
      <c r="G115" s="19" t="str">
        <f t="array" ref="G115">IFERROR(IF(ROWS($G$5:G113)&lt;=$G$5,INDEX(Lista2[Código],SMALL(IF(FREQUENCY(IF(Lista2[Código]&lt;&gt;"",
    MATCH("~"&amp;Lista2[Código]&amp;"",Lista2[Código]&amp;"",0)),ROW(Lista2[Código])-ROW(Inicio!$A$9)+1),ROW(Lista2[Código])-ROW(Inicio!$A$9)+1),
      ROWS($G$5:G113))),""),"")</f>
        <v/>
      </c>
      <c r="H115" s="19" t="str">
        <f>IFERROR(VLOOKUP(G115,Lista2[],2,FALSE),"")</f>
        <v/>
      </c>
      <c r="I115" s="1" t="str">
        <f>IF(G115&lt;&gt;"",SUMIF(Lista2[Código],G115,Lista2[Qtd]),"")</f>
        <v/>
      </c>
      <c r="J115" s="1" t="str">
        <f t="shared" si="7"/>
        <v/>
      </c>
      <c r="K115" s="19" t="str">
        <f t="shared" si="8"/>
        <v xml:space="preserve"> </v>
      </c>
    </row>
    <row r="116" spans="1:11" s="19" customFormat="1" x14ac:dyDescent="0.25">
      <c r="A116" s="19" t="str">
        <f t="array" ref="A116">IFERROR(IF(ROWS($A$5:A114)&lt;=$A$5,INDEX(Lista1[Código],SMALL(IF(FREQUENCY(IF(Lista1[Código]&lt;&gt;"",
    MATCH("~"&amp;Lista1[Código]&amp;"",Lista1[Código]&amp;"",0)),ROW(Lista1[Código])-ROW(Inicio!$A$9)+1),ROW(Lista1[Código])-ROW(Inicio!$A$9)+1),
      ROWS($A$5:A114))),""),"")</f>
        <v/>
      </c>
      <c r="B116" s="19" t="str">
        <f>IFERROR(VLOOKUP(A116,Lista1[],2,FALSE),"")</f>
        <v/>
      </c>
      <c r="C116" s="1" t="str">
        <f>IF(A116&lt;&gt;"",SUMIF(Lista1[Código],A116,Lista1[Qtd]),"")</f>
        <v/>
      </c>
      <c r="D116" s="1" t="str">
        <f t="shared" si="9"/>
        <v/>
      </c>
      <c r="E116" s="19" t="str">
        <f t="shared" si="6"/>
        <v xml:space="preserve"> </v>
      </c>
      <c r="G116" s="19" t="str">
        <f t="array" ref="G116">IFERROR(IF(ROWS($G$5:G114)&lt;=$G$5,INDEX(Lista2[Código],SMALL(IF(FREQUENCY(IF(Lista2[Código]&lt;&gt;"",
    MATCH("~"&amp;Lista2[Código]&amp;"",Lista2[Código]&amp;"",0)),ROW(Lista2[Código])-ROW(Inicio!$A$9)+1),ROW(Lista2[Código])-ROW(Inicio!$A$9)+1),
      ROWS($G$5:G114))),""),"")</f>
        <v/>
      </c>
      <c r="H116" s="19" t="str">
        <f>IFERROR(VLOOKUP(G116,Lista2[],2,FALSE),"")</f>
        <v/>
      </c>
      <c r="I116" s="1" t="str">
        <f>IF(G116&lt;&gt;"",SUMIF(Lista2[Código],G116,Lista2[Qtd]),"")</f>
        <v/>
      </c>
      <c r="J116" s="1" t="str">
        <f t="shared" si="7"/>
        <v/>
      </c>
      <c r="K116" s="19" t="str">
        <f t="shared" si="8"/>
        <v xml:space="preserve"> </v>
      </c>
    </row>
    <row r="117" spans="1:11" s="19" customFormat="1" x14ac:dyDescent="0.25">
      <c r="A117" s="19" t="str">
        <f t="array" ref="A117">IFERROR(IF(ROWS($A$5:A115)&lt;=$A$5,INDEX(Lista1[Código],SMALL(IF(FREQUENCY(IF(Lista1[Código]&lt;&gt;"",
    MATCH("~"&amp;Lista1[Código]&amp;"",Lista1[Código]&amp;"",0)),ROW(Lista1[Código])-ROW(Inicio!$A$9)+1),ROW(Lista1[Código])-ROW(Inicio!$A$9)+1),
      ROWS($A$5:A115))),""),"")</f>
        <v/>
      </c>
      <c r="B117" s="19" t="str">
        <f>IFERROR(VLOOKUP(A117,Lista1[],2,FALSE),"")</f>
        <v/>
      </c>
      <c r="C117" s="1" t="str">
        <f>IF(A117&lt;&gt;"",SUMIF(Lista1[Código],A117,Lista1[Qtd]),"")</f>
        <v/>
      </c>
      <c r="D117" s="1" t="str">
        <f t="shared" si="9"/>
        <v/>
      </c>
      <c r="E117" s="19" t="str">
        <f t="shared" si="6"/>
        <v xml:space="preserve"> </v>
      </c>
      <c r="G117" s="19" t="str">
        <f t="array" ref="G117">IFERROR(IF(ROWS($G$5:G115)&lt;=$G$5,INDEX(Lista2[Código],SMALL(IF(FREQUENCY(IF(Lista2[Código]&lt;&gt;"",
    MATCH("~"&amp;Lista2[Código]&amp;"",Lista2[Código]&amp;"",0)),ROW(Lista2[Código])-ROW(Inicio!$A$9)+1),ROW(Lista2[Código])-ROW(Inicio!$A$9)+1),
      ROWS($G$5:G115))),""),"")</f>
        <v/>
      </c>
      <c r="H117" s="19" t="str">
        <f>IFERROR(VLOOKUP(G117,Lista2[],2,FALSE),"")</f>
        <v/>
      </c>
      <c r="I117" s="1" t="str">
        <f>IF(G117&lt;&gt;"",SUMIF(Lista2[Código],G117,Lista2[Qtd]),"")</f>
        <v/>
      </c>
      <c r="J117" s="1" t="str">
        <f t="shared" si="7"/>
        <v/>
      </c>
      <c r="K117" s="19" t="str">
        <f t="shared" si="8"/>
        <v xml:space="preserve"> </v>
      </c>
    </row>
    <row r="118" spans="1:11" s="19" customFormat="1" x14ac:dyDescent="0.25">
      <c r="A118" s="19" t="str">
        <f t="array" ref="A118">IFERROR(IF(ROWS($A$5:A116)&lt;=$A$5,INDEX(Lista1[Código],SMALL(IF(FREQUENCY(IF(Lista1[Código]&lt;&gt;"",
    MATCH("~"&amp;Lista1[Código]&amp;"",Lista1[Código]&amp;"",0)),ROW(Lista1[Código])-ROW(Inicio!$A$9)+1),ROW(Lista1[Código])-ROW(Inicio!$A$9)+1),
      ROWS($A$5:A116))),""),"")</f>
        <v/>
      </c>
      <c r="B118" s="19" t="str">
        <f>IFERROR(VLOOKUP(A118,Lista1[],2,FALSE),"")</f>
        <v/>
      </c>
      <c r="C118" s="1" t="str">
        <f>IF(A118&lt;&gt;"",SUMIF(Lista1[Código],A118,Lista1[Qtd]),"")</f>
        <v/>
      </c>
      <c r="D118" s="1" t="str">
        <f t="shared" si="9"/>
        <v/>
      </c>
      <c r="E118" s="19" t="str">
        <f t="shared" si="6"/>
        <v xml:space="preserve"> </v>
      </c>
      <c r="G118" s="19" t="str">
        <f t="array" ref="G118">IFERROR(IF(ROWS($G$5:G116)&lt;=$G$5,INDEX(Lista2[Código],SMALL(IF(FREQUENCY(IF(Lista2[Código]&lt;&gt;"",
    MATCH("~"&amp;Lista2[Código]&amp;"",Lista2[Código]&amp;"",0)),ROW(Lista2[Código])-ROW(Inicio!$A$9)+1),ROW(Lista2[Código])-ROW(Inicio!$A$9)+1),
      ROWS($G$5:G116))),""),"")</f>
        <v/>
      </c>
      <c r="H118" s="19" t="str">
        <f>IFERROR(VLOOKUP(G118,Lista2[],2,FALSE),"")</f>
        <v/>
      </c>
      <c r="I118" s="1" t="str">
        <f>IF(G118&lt;&gt;"",SUMIF(Lista2[Código],G118,Lista2[Qtd]),"")</f>
        <v/>
      </c>
      <c r="J118" s="1" t="str">
        <f t="shared" si="7"/>
        <v/>
      </c>
      <c r="K118" s="19" t="str">
        <f t="shared" si="8"/>
        <v xml:space="preserve"> </v>
      </c>
    </row>
    <row r="119" spans="1:11" s="19" customFormat="1" x14ac:dyDescent="0.25">
      <c r="A119" s="19" t="str">
        <f t="array" ref="A119">IFERROR(IF(ROWS($A$5:A117)&lt;=$A$5,INDEX(Lista1[Código],SMALL(IF(FREQUENCY(IF(Lista1[Código]&lt;&gt;"",
    MATCH("~"&amp;Lista1[Código]&amp;"",Lista1[Código]&amp;"",0)),ROW(Lista1[Código])-ROW(Inicio!$A$9)+1),ROW(Lista1[Código])-ROW(Inicio!$A$9)+1),
      ROWS($A$5:A117))),""),"")</f>
        <v/>
      </c>
      <c r="B119" s="19" t="str">
        <f>IFERROR(VLOOKUP(A119,Lista1[],2,FALSE),"")</f>
        <v/>
      </c>
      <c r="C119" s="1" t="str">
        <f>IF(A119&lt;&gt;"",SUMIF(Lista1[Código],A119,Lista1[Qtd]),"")</f>
        <v/>
      </c>
      <c r="D119" s="1" t="str">
        <f t="shared" si="9"/>
        <v/>
      </c>
      <c r="E119" s="19" t="str">
        <f t="shared" si="6"/>
        <v xml:space="preserve"> </v>
      </c>
      <c r="G119" s="19" t="str">
        <f t="array" ref="G119">IFERROR(IF(ROWS($G$5:G117)&lt;=$G$5,INDEX(Lista2[Código],SMALL(IF(FREQUENCY(IF(Lista2[Código]&lt;&gt;"",
    MATCH("~"&amp;Lista2[Código]&amp;"",Lista2[Código]&amp;"",0)),ROW(Lista2[Código])-ROW(Inicio!$A$9)+1),ROW(Lista2[Código])-ROW(Inicio!$A$9)+1),
      ROWS($G$5:G117))),""),"")</f>
        <v/>
      </c>
      <c r="H119" s="19" t="str">
        <f>IFERROR(VLOOKUP(G119,Lista2[],2,FALSE),"")</f>
        <v/>
      </c>
      <c r="I119" s="1" t="str">
        <f>IF(G119&lt;&gt;"",SUMIF(Lista2[Código],G119,Lista2[Qtd]),"")</f>
        <v/>
      </c>
      <c r="J119" s="1" t="str">
        <f t="shared" si="7"/>
        <v/>
      </c>
      <c r="K119" s="19" t="str">
        <f t="shared" si="8"/>
        <v xml:space="preserve"> </v>
      </c>
    </row>
    <row r="120" spans="1:11" s="19" customFormat="1" x14ac:dyDescent="0.25">
      <c r="A120" s="19" t="str">
        <f t="array" ref="A120">IFERROR(IF(ROWS($A$5:A118)&lt;=$A$5,INDEX(Lista1[Código],SMALL(IF(FREQUENCY(IF(Lista1[Código]&lt;&gt;"",
    MATCH("~"&amp;Lista1[Código]&amp;"",Lista1[Código]&amp;"",0)),ROW(Lista1[Código])-ROW(Inicio!$A$9)+1),ROW(Lista1[Código])-ROW(Inicio!$A$9)+1),
      ROWS($A$5:A118))),""),"")</f>
        <v/>
      </c>
      <c r="B120" s="19" t="str">
        <f>IFERROR(VLOOKUP(A120,Lista1[],2,FALSE),"")</f>
        <v/>
      </c>
      <c r="C120" s="1" t="str">
        <f>IF(A120&lt;&gt;"",SUMIF(Lista1[Código],A120,Lista1[Qtd]),"")</f>
        <v/>
      </c>
      <c r="D120" s="1" t="str">
        <f t="shared" si="9"/>
        <v/>
      </c>
      <c r="E120" s="19" t="str">
        <f t="shared" si="6"/>
        <v xml:space="preserve"> </v>
      </c>
      <c r="G120" s="19" t="str">
        <f t="array" ref="G120">IFERROR(IF(ROWS($G$5:G118)&lt;=$G$5,INDEX(Lista2[Código],SMALL(IF(FREQUENCY(IF(Lista2[Código]&lt;&gt;"",
    MATCH("~"&amp;Lista2[Código]&amp;"",Lista2[Código]&amp;"",0)),ROW(Lista2[Código])-ROW(Inicio!$A$9)+1),ROW(Lista2[Código])-ROW(Inicio!$A$9)+1),
      ROWS($G$5:G118))),""),"")</f>
        <v/>
      </c>
      <c r="H120" s="19" t="str">
        <f>IFERROR(VLOOKUP(G120,Lista2[],2,FALSE),"")</f>
        <v/>
      </c>
      <c r="I120" s="1" t="str">
        <f>IF(G120&lt;&gt;"",SUMIF(Lista2[Código],G120,Lista2[Qtd]),"")</f>
        <v/>
      </c>
      <c r="J120" s="1" t="str">
        <f t="shared" si="7"/>
        <v/>
      </c>
      <c r="K120" s="19" t="str">
        <f t="shared" si="8"/>
        <v xml:space="preserve"> </v>
      </c>
    </row>
    <row r="121" spans="1:11" s="19" customFormat="1" x14ac:dyDescent="0.25">
      <c r="A121" s="19" t="str">
        <f t="array" ref="A121">IFERROR(IF(ROWS($A$5:A119)&lt;=$A$5,INDEX(Lista1[Código],SMALL(IF(FREQUENCY(IF(Lista1[Código]&lt;&gt;"",
    MATCH("~"&amp;Lista1[Código]&amp;"",Lista1[Código]&amp;"",0)),ROW(Lista1[Código])-ROW(Inicio!$A$9)+1),ROW(Lista1[Código])-ROW(Inicio!$A$9)+1),
      ROWS($A$5:A119))),""),"")</f>
        <v/>
      </c>
      <c r="B121" s="19" t="str">
        <f>IFERROR(VLOOKUP(A121,Lista1[],2,FALSE),"")</f>
        <v/>
      </c>
      <c r="C121" s="1" t="str">
        <f>IF(A121&lt;&gt;"",SUMIF(Lista1[Código],A121,Lista1[Qtd]),"")</f>
        <v/>
      </c>
      <c r="D121" s="1" t="str">
        <f t="shared" si="9"/>
        <v/>
      </c>
      <c r="E121" s="19" t="str">
        <f t="shared" si="6"/>
        <v xml:space="preserve"> </v>
      </c>
      <c r="G121" s="19" t="str">
        <f t="array" ref="G121">IFERROR(IF(ROWS($G$5:G119)&lt;=$G$5,INDEX(Lista2[Código],SMALL(IF(FREQUENCY(IF(Lista2[Código]&lt;&gt;"",
    MATCH("~"&amp;Lista2[Código]&amp;"",Lista2[Código]&amp;"",0)),ROW(Lista2[Código])-ROW(Inicio!$A$9)+1),ROW(Lista2[Código])-ROW(Inicio!$A$9)+1),
      ROWS($G$5:G119))),""),"")</f>
        <v/>
      </c>
      <c r="H121" s="19" t="str">
        <f>IFERROR(VLOOKUP(G121,Lista2[],2,FALSE),"")</f>
        <v/>
      </c>
      <c r="I121" s="1" t="str">
        <f>IF(G121&lt;&gt;"",SUMIF(Lista2[Código],G121,Lista2[Qtd]),"")</f>
        <v/>
      </c>
      <c r="J121" s="1" t="str">
        <f t="shared" si="7"/>
        <v/>
      </c>
      <c r="K121" s="19" t="str">
        <f t="shared" si="8"/>
        <v xml:space="preserve"> </v>
      </c>
    </row>
    <row r="122" spans="1:11" s="19" customFormat="1" x14ac:dyDescent="0.25">
      <c r="A122" s="19" t="str">
        <f t="array" ref="A122">IFERROR(IF(ROWS($A$5:A120)&lt;=$A$5,INDEX(Lista1[Código],SMALL(IF(FREQUENCY(IF(Lista1[Código]&lt;&gt;"",
    MATCH("~"&amp;Lista1[Código]&amp;"",Lista1[Código]&amp;"",0)),ROW(Lista1[Código])-ROW(Inicio!$A$9)+1),ROW(Lista1[Código])-ROW(Inicio!$A$9)+1),
      ROWS($A$5:A120))),""),"")</f>
        <v/>
      </c>
      <c r="B122" s="19" t="str">
        <f>IFERROR(VLOOKUP(A122,Lista1[],2,FALSE),"")</f>
        <v/>
      </c>
      <c r="C122" s="1" t="str">
        <f>IF(A122&lt;&gt;"",SUMIF(Lista1[Código],A122,Lista1[Qtd]),"")</f>
        <v/>
      </c>
      <c r="D122" s="1" t="str">
        <f t="shared" si="9"/>
        <v/>
      </c>
      <c r="E122" s="19" t="str">
        <f t="shared" si="6"/>
        <v xml:space="preserve"> </v>
      </c>
      <c r="G122" s="19" t="str">
        <f t="array" ref="G122">IFERROR(IF(ROWS($G$5:G120)&lt;=$G$5,INDEX(Lista2[Código],SMALL(IF(FREQUENCY(IF(Lista2[Código]&lt;&gt;"",
    MATCH("~"&amp;Lista2[Código]&amp;"",Lista2[Código]&amp;"",0)),ROW(Lista2[Código])-ROW(Inicio!$A$9)+1),ROW(Lista2[Código])-ROW(Inicio!$A$9)+1),
      ROWS($G$5:G120))),""),"")</f>
        <v/>
      </c>
      <c r="H122" s="19" t="str">
        <f>IFERROR(VLOOKUP(G122,Lista2[],2,FALSE),"")</f>
        <v/>
      </c>
      <c r="I122" s="1" t="str">
        <f>IF(G122&lt;&gt;"",SUMIF(Lista2[Código],G122,Lista2[Qtd]),"")</f>
        <v/>
      </c>
      <c r="J122" s="1" t="str">
        <f t="shared" si="7"/>
        <v/>
      </c>
      <c r="K122" s="19" t="str">
        <f t="shared" si="8"/>
        <v xml:space="preserve"> </v>
      </c>
    </row>
    <row r="123" spans="1:11" s="19" customFormat="1" x14ac:dyDescent="0.25">
      <c r="A123" s="19" t="str">
        <f t="array" ref="A123">IFERROR(IF(ROWS($A$5:A121)&lt;=$A$5,INDEX(Lista1[Código],SMALL(IF(FREQUENCY(IF(Lista1[Código]&lt;&gt;"",
    MATCH("~"&amp;Lista1[Código]&amp;"",Lista1[Código]&amp;"",0)),ROW(Lista1[Código])-ROW(Inicio!$A$9)+1),ROW(Lista1[Código])-ROW(Inicio!$A$9)+1),
      ROWS($A$5:A121))),""),"")</f>
        <v/>
      </c>
      <c r="B123" s="19" t="str">
        <f>IFERROR(VLOOKUP(A123,Lista1[],2,FALSE),"")</f>
        <v/>
      </c>
      <c r="C123" s="1" t="str">
        <f>IF(A123&lt;&gt;"",SUMIF(Lista1[Código],A123,Lista1[Qtd]),"")</f>
        <v/>
      </c>
      <c r="D123" s="1" t="str">
        <f t="shared" si="9"/>
        <v/>
      </c>
      <c r="E123" s="19" t="str">
        <f t="shared" si="6"/>
        <v xml:space="preserve"> </v>
      </c>
      <c r="G123" s="19" t="str">
        <f t="array" ref="G123">IFERROR(IF(ROWS($G$5:G121)&lt;=$G$5,INDEX(Lista2[Código],SMALL(IF(FREQUENCY(IF(Lista2[Código]&lt;&gt;"",
    MATCH("~"&amp;Lista2[Código]&amp;"",Lista2[Código]&amp;"",0)),ROW(Lista2[Código])-ROW(Inicio!$A$9)+1),ROW(Lista2[Código])-ROW(Inicio!$A$9)+1),
      ROWS($G$5:G121))),""),"")</f>
        <v/>
      </c>
      <c r="H123" s="19" t="str">
        <f>IFERROR(VLOOKUP(G123,Lista2[],2,FALSE),"")</f>
        <v/>
      </c>
      <c r="I123" s="1" t="str">
        <f>IF(G123&lt;&gt;"",SUMIF(Lista2[Código],G123,Lista2[Qtd]),"")</f>
        <v/>
      </c>
      <c r="J123" s="1" t="str">
        <f t="shared" si="7"/>
        <v/>
      </c>
      <c r="K123" s="19" t="str">
        <f t="shared" si="8"/>
        <v xml:space="preserve"> </v>
      </c>
    </row>
    <row r="124" spans="1:11" s="19" customFormat="1" x14ac:dyDescent="0.25">
      <c r="A124" s="19" t="str">
        <f t="array" ref="A124">IFERROR(IF(ROWS($A$5:A122)&lt;=$A$5,INDEX(Lista1[Código],SMALL(IF(FREQUENCY(IF(Lista1[Código]&lt;&gt;"",
    MATCH("~"&amp;Lista1[Código]&amp;"",Lista1[Código]&amp;"",0)),ROW(Lista1[Código])-ROW(Inicio!$A$9)+1),ROW(Lista1[Código])-ROW(Inicio!$A$9)+1),
      ROWS($A$5:A122))),""),"")</f>
        <v/>
      </c>
      <c r="B124" s="19" t="str">
        <f>IFERROR(VLOOKUP(A124,Lista1[],2,FALSE),"")</f>
        <v/>
      </c>
      <c r="C124" s="1" t="str">
        <f>IF(A124&lt;&gt;"",SUMIF(Lista1[Código],A124,Lista1[Qtd]),"")</f>
        <v/>
      </c>
      <c r="D124" s="1" t="str">
        <f t="shared" si="9"/>
        <v/>
      </c>
      <c r="E124" s="19" t="str">
        <f t="shared" si="6"/>
        <v xml:space="preserve"> </v>
      </c>
      <c r="G124" s="19" t="str">
        <f t="array" ref="G124">IFERROR(IF(ROWS($G$5:G122)&lt;=$G$5,INDEX(Lista2[Código],SMALL(IF(FREQUENCY(IF(Lista2[Código]&lt;&gt;"",
    MATCH("~"&amp;Lista2[Código]&amp;"",Lista2[Código]&amp;"",0)),ROW(Lista2[Código])-ROW(Inicio!$A$9)+1),ROW(Lista2[Código])-ROW(Inicio!$A$9)+1),
      ROWS($G$5:G122))),""),"")</f>
        <v/>
      </c>
      <c r="H124" s="19" t="str">
        <f>IFERROR(VLOOKUP(G124,Lista2[],2,FALSE),"")</f>
        <v/>
      </c>
      <c r="I124" s="1" t="str">
        <f>IF(G124&lt;&gt;"",SUMIF(Lista2[Código],G124,Lista2[Qtd]),"")</f>
        <v/>
      </c>
      <c r="J124" s="1" t="str">
        <f t="shared" si="7"/>
        <v/>
      </c>
      <c r="K124" s="19" t="str">
        <f t="shared" si="8"/>
        <v xml:space="preserve"> </v>
      </c>
    </row>
    <row r="125" spans="1:11" s="19" customFormat="1" x14ac:dyDescent="0.25">
      <c r="A125" s="19" t="str">
        <f t="array" ref="A125">IFERROR(IF(ROWS($A$5:A123)&lt;=$A$5,INDEX(Lista1[Código],SMALL(IF(FREQUENCY(IF(Lista1[Código]&lt;&gt;"",
    MATCH("~"&amp;Lista1[Código]&amp;"",Lista1[Código]&amp;"",0)),ROW(Lista1[Código])-ROW(Inicio!$A$9)+1),ROW(Lista1[Código])-ROW(Inicio!$A$9)+1),
      ROWS($A$5:A123))),""),"")</f>
        <v/>
      </c>
      <c r="B125" s="19" t="str">
        <f>IFERROR(VLOOKUP(A125,Lista1[],2,FALSE),"")</f>
        <v/>
      </c>
      <c r="C125" s="1" t="str">
        <f>IF(A125&lt;&gt;"",SUMIF(Lista1[Código],A125,Lista1[Qtd]),"")</f>
        <v/>
      </c>
      <c r="D125" s="1" t="str">
        <f t="shared" si="9"/>
        <v/>
      </c>
      <c r="E125" s="19" t="str">
        <f t="shared" si="6"/>
        <v xml:space="preserve"> </v>
      </c>
      <c r="G125" s="19" t="str">
        <f t="array" ref="G125">IFERROR(IF(ROWS($G$5:G123)&lt;=$G$5,INDEX(Lista2[Código],SMALL(IF(FREQUENCY(IF(Lista2[Código]&lt;&gt;"",
    MATCH("~"&amp;Lista2[Código]&amp;"",Lista2[Código]&amp;"",0)),ROW(Lista2[Código])-ROW(Inicio!$A$9)+1),ROW(Lista2[Código])-ROW(Inicio!$A$9)+1),
      ROWS($G$5:G123))),""),"")</f>
        <v/>
      </c>
      <c r="H125" s="19" t="str">
        <f>IFERROR(VLOOKUP(G125,Lista2[],2,FALSE),"")</f>
        <v/>
      </c>
      <c r="I125" s="1" t="str">
        <f>IF(G125&lt;&gt;"",SUMIF(Lista2[Código],G125,Lista2[Qtd]),"")</f>
        <v/>
      </c>
      <c r="J125" s="1" t="str">
        <f t="shared" si="7"/>
        <v/>
      </c>
      <c r="K125" s="19" t="str">
        <f t="shared" si="8"/>
        <v xml:space="preserve"> </v>
      </c>
    </row>
    <row r="126" spans="1:11" s="19" customFormat="1" x14ac:dyDescent="0.25">
      <c r="A126" s="19" t="str">
        <f t="array" ref="A126">IFERROR(IF(ROWS($A$5:A124)&lt;=$A$5,INDEX(Lista1[Código],SMALL(IF(FREQUENCY(IF(Lista1[Código]&lt;&gt;"",
    MATCH("~"&amp;Lista1[Código]&amp;"",Lista1[Código]&amp;"",0)),ROW(Lista1[Código])-ROW(Inicio!$A$9)+1),ROW(Lista1[Código])-ROW(Inicio!$A$9)+1),
      ROWS($A$5:A124))),""),"")</f>
        <v/>
      </c>
      <c r="B126" s="19" t="str">
        <f>IFERROR(VLOOKUP(A126,Lista1[],2,FALSE),"")</f>
        <v/>
      </c>
      <c r="C126" s="1" t="str">
        <f>IF(A126&lt;&gt;"",SUMIF(Lista1[Código],A126,Lista1[Qtd]),"")</f>
        <v/>
      </c>
      <c r="D126" s="1" t="str">
        <f t="shared" si="9"/>
        <v/>
      </c>
      <c r="E126" s="19" t="str">
        <f t="shared" si="6"/>
        <v xml:space="preserve"> </v>
      </c>
      <c r="G126" s="19" t="str">
        <f t="array" ref="G126">IFERROR(IF(ROWS($G$5:G124)&lt;=$G$5,INDEX(Lista2[Código],SMALL(IF(FREQUENCY(IF(Lista2[Código]&lt;&gt;"",
    MATCH("~"&amp;Lista2[Código]&amp;"",Lista2[Código]&amp;"",0)),ROW(Lista2[Código])-ROW(Inicio!$A$9)+1),ROW(Lista2[Código])-ROW(Inicio!$A$9)+1),
      ROWS($G$5:G124))),""),"")</f>
        <v/>
      </c>
      <c r="H126" s="19" t="str">
        <f>IFERROR(VLOOKUP(G126,Lista2[],2,FALSE),"")</f>
        <v/>
      </c>
      <c r="I126" s="1" t="str">
        <f>IF(G126&lt;&gt;"",SUMIF(Lista2[Código],G126,Lista2[Qtd]),"")</f>
        <v/>
      </c>
      <c r="J126" s="1" t="str">
        <f t="shared" si="7"/>
        <v/>
      </c>
      <c r="K126" s="19" t="str">
        <f t="shared" si="8"/>
        <v xml:space="preserve"> </v>
      </c>
    </row>
    <row r="127" spans="1:11" s="19" customFormat="1" x14ac:dyDescent="0.25">
      <c r="A127" s="19" t="str">
        <f t="array" ref="A127">IFERROR(IF(ROWS($A$5:A125)&lt;=$A$5,INDEX(Lista1[Código],SMALL(IF(FREQUENCY(IF(Lista1[Código]&lt;&gt;"",
    MATCH("~"&amp;Lista1[Código]&amp;"",Lista1[Código]&amp;"",0)),ROW(Lista1[Código])-ROW(Inicio!$A$9)+1),ROW(Lista1[Código])-ROW(Inicio!$A$9)+1),
      ROWS($A$5:A125))),""),"")</f>
        <v/>
      </c>
      <c r="B127" s="19" t="str">
        <f>IFERROR(VLOOKUP(A127,Lista1[],2,FALSE),"")</f>
        <v/>
      </c>
      <c r="C127" s="1" t="str">
        <f>IF(A127&lt;&gt;"",SUMIF(Lista1[Código],A127,Lista1[Qtd]),"")</f>
        <v/>
      </c>
      <c r="D127" s="1" t="str">
        <f t="shared" si="9"/>
        <v/>
      </c>
      <c r="E127" s="19" t="str">
        <f t="shared" si="6"/>
        <v xml:space="preserve"> </v>
      </c>
      <c r="G127" s="19" t="str">
        <f t="array" ref="G127">IFERROR(IF(ROWS($G$5:G125)&lt;=$G$5,INDEX(Lista2[Código],SMALL(IF(FREQUENCY(IF(Lista2[Código]&lt;&gt;"",
    MATCH("~"&amp;Lista2[Código]&amp;"",Lista2[Código]&amp;"",0)),ROW(Lista2[Código])-ROW(Inicio!$A$9)+1),ROW(Lista2[Código])-ROW(Inicio!$A$9)+1),
      ROWS($G$5:G125))),""),"")</f>
        <v/>
      </c>
      <c r="H127" s="19" t="str">
        <f>IFERROR(VLOOKUP(G127,Lista2[],2,FALSE),"")</f>
        <v/>
      </c>
      <c r="I127" s="1" t="str">
        <f>IF(G127&lt;&gt;"",SUMIF(Lista2[Código],G127,Lista2[Qtd]),"")</f>
        <v/>
      </c>
      <c r="J127" s="1" t="str">
        <f t="shared" si="7"/>
        <v/>
      </c>
      <c r="K127" s="19" t="str">
        <f t="shared" si="8"/>
        <v xml:space="preserve"> </v>
      </c>
    </row>
    <row r="128" spans="1:11" s="19" customFormat="1" x14ac:dyDescent="0.25">
      <c r="A128" s="19" t="str">
        <f t="array" ref="A128">IFERROR(IF(ROWS($A$5:A126)&lt;=$A$5,INDEX(Lista1[Código],SMALL(IF(FREQUENCY(IF(Lista1[Código]&lt;&gt;"",
    MATCH("~"&amp;Lista1[Código]&amp;"",Lista1[Código]&amp;"",0)),ROW(Lista1[Código])-ROW(Inicio!$A$9)+1),ROW(Lista1[Código])-ROW(Inicio!$A$9)+1),
      ROWS($A$5:A126))),""),"")</f>
        <v/>
      </c>
      <c r="B128" s="19" t="str">
        <f>IFERROR(VLOOKUP(A128,Lista1[],2,FALSE),"")</f>
        <v/>
      </c>
      <c r="C128" s="1" t="str">
        <f>IF(A128&lt;&gt;"",SUMIF(Lista1[Código],A128,Lista1[Qtd]),"")</f>
        <v/>
      </c>
      <c r="D128" s="1" t="str">
        <f t="shared" si="9"/>
        <v/>
      </c>
      <c r="E128" s="19" t="str">
        <f t="shared" si="6"/>
        <v xml:space="preserve"> </v>
      </c>
      <c r="G128" s="19" t="str">
        <f t="array" ref="G128">IFERROR(IF(ROWS($G$5:G126)&lt;=$G$5,INDEX(Lista2[Código],SMALL(IF(FREQUENCY(IF(Lista2[Código]&lt;&gt;"",
    MATCH("~"&amp;Lista2[Código]&amp;"",Lista2[Código]&amp;"",0)),ROW(Lista2[Código])-ROW(Inicio!$A$9)+1),ROW(Lista2[Código])-ROW(Inicio!$A$9)+1),
      ROWS($G$5:G126))),""),"")</f>
        <v/>
      </c>
      <c r="H128" s="19" t="str">
        <f>IFERROR(VLOOKUP(G128,Lista2[],2,FALSE),"")</f>
        <v/>
      </c>
      <c r="I128" s="1" t="str">
        <f>IF(G128&lt;&gt;"",SUMIF(Lista2[Código],G128,Lista2[Qtd]),"")</f>
        <v/>
      </c>
      <c r="J128" s="1" t="str">
        <f t="shared" si="7"/>
        <v/>
      </c>
      <c r="K128" s="19" t="str">
        <f t="shared" si="8"/>
        <v xml:space="preserve"> </v>
      </c>
    </row>
    <row r="129" spans="1:11" s="19" customFormat="1" x14ac:dyDescent="0.25">
      <c r="A129" s="19" t="str">
        <f t="array" ref="A129">IFERROR(IF(ROWS($A$5:A127)&lt;=$A$5,INDEX(Lista1[Código],SMALL(IF(FREQUENCY(IF(Lista1[Código]&lt;&gt;"",
    MATCH("~"&amp;Lista1[Código]&amp;"",Lista1[Código]&amp;"",0)),ROW(Lista1[Código])-ROW(Inicio!$A$9)+1),ROW(Lista1[Código])-ROW(Inicio!$A$9)+1),
      ROWS($A$5:A127))),""),"")</f>
        <v/>
      </c>
      <c r="B129" s="19" t="str">
        <f>IFERROR(VLOOKUP(A129,Lista1[],2,FALSE),"")</f>
        <v/>
      </c>
      <c r="C129" s="1" t="str">
        <f>IF(A129&lt;&gt;"",SUMIF(Lista1[Código],A129,Lista1[Qtd]),"")</f>
        <v/>
      </c>
      <c r="D129" s="1" t="str">
        <f t="shared" si="9"/>
        <v/>
      </c>
      <c r="E129" s="19" t="str">
        <f t="shared" si="6"/>
        <v xml:space="preserve"> </v>
      </c>
      <c r="G129" s="19" t="str">
        <f t="array" ref="G129">IFERROR(IF(ROWS($G$5:G127)&lt;=$G$5,INDEX(Lista2[Código],SMALL(IF(FREQUENCY(IF(Lista2[Código]&lt;&gt;"",
    MATCH("~"&amp;Lista2[Código]&amp;"",Lista2[Código]&amp;"",0)),ROW(Lista2[Código])-ROW(Inicio!$A$9)+1),ROW(Lista2[Código])-ROW(Inicio!$A$9)+1),
      ROWS($G$5:G127))),""),"")</f>
        <v/>
      </c>
      <c r="H129" s="19" t="str">
        <f>IFERROR(VLOOKUP(G129,Lista2[],2,FALSE),"")</f>
        <v/>
      </c>
      <c r="I129" s="1" t="str">
        <f>IF(G129&lt;&gt;"",SUMIF(Lista2[Código],G129,Lista2[Qtd]),"")</f>
        <v/>
      </c>
      <c r="J129" s="1" t="str">
        <f t="shared" si="7"/>
        <v/>
      </c>
      <c r="K129" s="19" t="str">
        <f t="shared" si="8"/>
        <v xml:space="preserve"> </v>
      </c>
    </row>
    <row r="130" spans="1:11" s="19" customFormat="1" x14ac:dyDescent="0.25">
      <c r="A130" s="19" t="str">
        <f t="array" ref="A130">IFERROR(IF(ROWS($A$5:A128)&lt;=$A$5,INDEX(Lista1[Código],SMALL(IF(FREQUENCY(IF(Lista1[Código]&lt;&gt;"",
    MATCH("~"&amp;Lista1[Código]&amp;"",Lista1[Código]&amp;"",0)),ROW(Lista1[Código])-ROW(Inicio!$A$9)+1),ROW(Lista1[Código])-ROW(Inicio!$A$9)+1),
      ROWS($A$5:A128))),""),"")</f>
        <v/>
      </c>
      <c r="B130" s="19" t="str">
        <f>IFERROR(VLOOKUP(A130,Lista1[],2,FALSE),"")</f>
        <v/>
      </c>
      <c r="C130" s="1" t="str">
        <f>IF(A130&lt;&gt;"",SUMIF(Lista1[Código],A130,Lista1[Qtd]),"")</f>
        <v/>
      </c>
      <c r="D130" s="1" t="str">
        <f t="shared" si="9"/>
        <v/>
      </c>
      <c r="E130" s="19" t="str">
        <f t="shared" si="6"/>
        <v xml:space="preserve"> </v>
      </c>
      <c r="G130" s="19" t="str">
        <f t="array" ref="G130">IFERROR(IF(ROWS($G$5:G128)&lt;=$G$5,INDEX(Lista2[Código],SMALL(IF(FREQUENCY(IF(Lista2[Código]&lt;&gt;"",
    MATCH("~"&amp;Lista2[Código]&amp;"",Lista2[Código]&amp;"",0)),ROW(Lista2[Código])-ROW(Inicio!$A$9)+1),ROW(Lista2[Código])-ROW(Inicio!$A$9)+1),
      ROWS($G$5:G128))),""),"")</f>
        <v/>
      </c>
      <c r="H130" s="19" t="str">
        <f>IFERROR(VLOOKUP(G130,Lista2[],2,FALSE),"")</f>
        <v/>
      </c>
      <c r="I130" s="1" t="str">
        <f>IF(G130&lt;&gt;"",SUMIF(Lista2[Código],G130,Lista2[Qtd]),"")</f>
        <v/>
      </c>
      <c r="J130" s="1" t="str">
        <f t="shared" si="7"/>
        <v/>
      </c>
      <c r="K130" s="19" t="str">
        <f t="shared" si="8"/>
        <v xml:space="preserve"> </v>
      </c>
    </row>
    <row r="131" spans="1:11" s="19" customFormat="1" x14ac:dyDescent="0.25">
      <c r="A131" s="19" t="str">
        <f t="array" ref="A131">IFERROR(IF(ROWS($A$5:A129)&lt;=$A$5,INDEX(Lista1[Código],SMALL(IF(FREQUENCY(IF(Lista1[Código]&lt;&gt;"",
    MATCH("~"&amp;Lista1[Código]&amp;"",Lista1[Código]&amp;"",0)),ROW(Lista1[Código])-ROW(Inicio!$A$9)+1),ROW(Lista1[Código])-ROW(Inicio!$A$9)+1),
      ROWS($A$5:A129))),""),"")</f>
        <v/>
      </c>
      <c r="B131" s="19" t="str">
        <f>IFERROR(VLOOKUP(A131,Lista1[],2,FALSE),"")</f>
        <v/>
      </c>
      <c r="C131" s="1" t="str">
        <f>IF(A131&lt;&gt;"",SUMIF(Lista1[Código],A131,Lista1[Qtd]),"")</f>
        <v/>
      </c>
      <c r="D131" s="1" t="str">
        <f t="shared" si="9"/>
        <v/>
      </c>
      <c r="E131" s="19" t="str">
        <f t="shared" si="6"/>
        <v xml:space="preserve"> </v>
      </c>
      <c r="G131" s="19" t="str">
        <f t="array" ref="G131">IFERROR(IF(ROWS($G$5:G129)&lt;=$G$5,INDEX(Lista2[Código],SMALL(IF(FREQUENCY(IF(Lista2[Código]&lt;&gt;"",
    MATCH("~"&amp;Lista2[Código]&amp;"",Lista2[Código]&amp;"",0)),ROW(Lista2[Código])-ROW(Inicio!$A$9)+1),ROW(Lista2[Código])-ROW(Inicio!$A$9)+1),
      ROWS($G$5:G129))),""),"")</f>
        <v/>
      </c>
      <c r="H131" s="19" t="str">
        <f>IFERROR(VLOOKUP(G131,Lista2[],2,FALSE),"")</f>
        <v/>
      </c>
      <c r="I131" s="1" t="str">
        <f>IF(G131&lt;&gt;"",SUMIF(Lista2[Código],G131,Lista2[Qtd]),"")</f>
        <v/>
      </c>
      <c r="J131" s="1" t="str">
        <f t="shared" si="7"/>
        <v/>
      </c>
      <c r="K131" s="19" t="str">
        <f t="shared" si="8"/>
        <v xml:space="preserve"> </v>
      </c>
    </row>
    <row r="132" spans="1:11" s="19" customFormat="1" x14ac:dyDescent="0.25">
      <c r="A132" s="19" t="str">
        <f t="array" ref="A132">IFERROR(IF(ROWS($A$5:A130)&lt;=$A$5,INDEX(Lista1[Código],SMALL(IF(FREQUENCY(IF(Lista1[Código]&lt;&gt;"",
    MATCH("~"&amp;Lista1[Código]&amp;"",Lista1[Código]&amp;"",0)),ROW(Lista1[Código])-ROW(Inicio!$A$9)+1),ROW(Lista1[Código])-ROW(Inicio!$A$9)+1),
      ROWS($A$5:A130))),""),"")</f>
        <v/>
      </c>
      <c r="B132" s="19" t="str">
        <f>IFERROR(VLOOKUP(A132,Lista1[],2,FALSE),"")</f>
        <v/>
      </c>
      <c r="C132" s="1" t="str">
        <f>IF(A132&lt;&gt;"",SUMIF(Lista1[Código],A132,Lista1[Qtd]),"")</f>
        <v/>
      </c>
      <c r="D132" s="1" t="str">
        <f t="shared" si="9"/>
        <v/>
      </c>
      <c r="E132" s="19" t="str">
        <f t="shared" si="6"/>
        <v xml:space="preserve"> </v>
      </c>
      <c r="G132" s="19" t="str">
        <f t="array" ref="G132">IFERROR(IF(ROWS($G$5:G130)&lt;=$G$5,INDEX(Lista2[Código],SMALL(IF(FREQUENCY(IF(Lista2[Código]&lt;&gt;"",
    MATCH("~"&amp;Lista2[Código]&amp;"",Lista2[Código]&amp;"",0)),ROW(Lista2[Código])-ROW(Inicio!$A$9)+1),ROW(Lista2[Código])-ROW(Inicio!$A$9)+1),
      ROWS($G$5:G130))),""),"")</f>
        <v/>
      </c>
      <c r="H132" s="19" t="str">
        <f>IFERROR(VLOOKUP(G132,Lista2[],2,FALSE),"")</f>
        <v/>
      </c>
      <c r="I132" s="1" t="str">
        <f>IF(G132&lt;&gt;"",SUMIF(Lista2[Código],G132,Lista2[Qtd]),"")</f>
        <v/>
      </c>
      <c r="J132" s="1" t="str">
        <f t="shared" si="7"/>
        <v/>
      </c>
      <c r="K132" s="19" t="str">
        <f t="shared" si="8"/>
        <v xml:space="preserve"> </v>
      </c>
    </row>
    <row r="133" spans="1:11" s="19" customFormat="1" x14ac:dyDescent="0.25">
      <c r="A133" s="19" t="str">
        <f t="array" ref="A133">IFERROR(IF(ROWS($A$5:A131)&lt;=$A$5,INDEX(Lista1[Código],SMALL(IF(FREQUENCY(IF(Lista1[Código]&lt;&gt;"",
    MATCH("~"&amp;Lista1[Código]&amp;"",Lista1[Código]&amp;"",0)),ROW(Lista1[Código])-ROW(Inicio!$A$9)+1),ROW(Lista1[Código])-ROW(Inicio!$A$9)+1),
      ROWS($A$5:A131))),""),"")</f>
        <v/>
      </c>
      <c r="B133" s="19" t="str">
        <f>IFERROR(VLOOKUP(A133,Lista1[],2,FALSE),"")</f>
        <v/>
      </c>
      <c r="C133" s="1" t="str">
        <f>IF(A133&lt;&gt;"",SUMIF(Lista1[Código],A133,Lista1[Qtd]),"")</f>
        <v/>
      </c>
      <c r="D133" s="1" t="str">
        <f t="shared" si="9"/>
        <v/>
      </c>
      <c r="E133" s="19" t="str">
        <f t="shared" si="6"/>
        <v xml:space="preserve"> </v>
      </c>
      <c r="G133" s="19" t="str">
        <f t="array" ref="G133">IFERROR(IF(ROWS($G$5:G131)&lt;=$G$5,INDEX(Lista2[Código],SMALL(IF(FREQUENCY(IF(Lista2[Código]&lt;&gt;"",
    MATCH("~"&amp;Lista2[Código]&amp;"",Lista2[Código]&amp;"",0)),ROW(Lista2[Código])-ROW(Inicio!$A$9)+1),ROW(Lista2[Código])-ROW(Inicio!$A$9)+1),
      ROWS($G$5:G131))),""),"")</f>
        <v/>
      </c>
      <c r="H133" s="19" t="str">
        <f>IFERROR(VLOOKUP(G133,Lista2[],2,FALSE),"")</f>
        <v/>
      </c>
      <c r="I133" s="1" t="str">
        <f>IF(G133&lt;&gt;"",SUMIF(Lista2[Código],G133,Lista2[Qtd]),"")</f>
        <v/>
      </c>
      <c r="J133" s="1" t="str">
        <f t="shared" si="7"/>
        <v/>
      </c>
      <c r="K133" s="19" t="str">
        <f t="shared" si="8"/>
        <v xml:space="preserve"> </v>
      </c>
    </row>
    <row r="134" spans="1:11" s="19" customFormat="1" x14ac:dyDescent="0.25">
      <c r="A134" s="19" t="str">
        <f t="array" ref="A134">IFERROR(IF(ROWS($A$5:A132)&lt;=$A$5,INDEX(Lista1[Código],SMALL(IF(FREQUENCY(IF(Lista1[Código]&lt;&gt;"",
    MATCH("~"&amp;Lista1[Código]&amp;"",Lista1[Código]&amp;"",0)),ROW(Lista1[Código])-ROW(Inicio!$A$9)+1),ROW(Lista1[Código])-ROW(Inicio!$A$9)+1),
      ROWS($A$5:A132))),""),"")</f>
        <v/>
      </c>
      <c r="B134" s="19" t="str">
        <f>IFERROR(VLOOKUP(A134,Lista1[],2,FALSE),"")</f>
        <v/>
      </c>
      <c r="C134" s="1" t="str">
        <f>IF(A134&lt;&gt;"",SUMIF(Lista1[Código],A134,Lista1[Qtd]),"")</f>
        <v/>
      </c>
      <c r="D134" s="1" t="str">
        <f t="shared" si="9"/>
        <v/>
      </c>
      <c r="E134" s="19" t="str">
        <f t="shared" si="6"/>
        <v xml:space="preserve"> </v>
      </c>
      <c r="G134" s="19" t="str">
        <f t="array" ref="G134">IFERROR(IF(ROWS($G$5:G132)&lt;=$G$5,INDEX(Lista2[Código],SMALL(IF(FREQUENCY(IF(Lista2[Código]&lt;&gt;"",
    MATCH("~"&amp;Lista2[Código]&amp;"",Lista2[Código]&amp;"",0)),ROW(Lista2[Código])-ROW(Inicio!$A$9)+1),ROW(Lista2[Código])-ROW(Inicio!$A$9)+1),
      ROWS($G$5:G132))),""),"")</f>
        <v/>
      </c>
      <c r="H134" s="19" t="str">
        <f>IFERROR(VLOOKUP(G134,Lista2[],2,FALSE),"")</f>
        <v/>
      </c>
      <c r="I134" s="1" t="str">
        <f>IF(G134&lt;&gt;"",SUMIF(Lista2[Código],G134,Lista2[Qtd]),"")</f>
        <v/>
      </c>
      <c r="J134" s="1" t="str">
        <f t="shared" si="7"/>
        <v/>
      </c>
      <c r="K134" s="19" t="str">
        <f t="shared" si="8"/>
        <v xml:space="preserve"> </v>
      </c>
    </row>
    <row r="135" spans="1:11" s="19" customFormat="1" x14ac:dyDescent="0.25">
      <c r="A135" s="19" t="str">
        <f t="array" ref="A135">IFERROR(IF(ROWS($A$5:A133)&lt;=$A$5,INDEX(Lista1[Código],SMALL(IF(FREQUENCY(IF(Lista1[Código]&lt;&gt;"",
    MATCH("~"&amp;Lista1[Código]&amp;"",Lista1[Código]&amp;"",0)),ROW(Lista1[Código])-ROW(Inicio!$A$9)+1),ROW(Lista1[Código])-ROW(Inicio!$A$9)+1),
      ROWS($A$5:A133))),""),"")</f>
        <v/>
      </c>
      <c r="B135" s="19" t="str">
        <f>IFERROR(VLOOKUP(A135,Lista1[],2,FALSE),"")</f>
        <v/>
      </c>
      <c r="C135" s="1" t="str">
        <f>IF(A135&lt;&gt;"",SUMIF(Lista1[Código],A135,Lista1[Qtd]),"")</f>
        <v/>
      </c>
      <c r="D135" s="1" t="str">
        <f t="shared" ref="D135:D166" si="10">IF(A135="","",IFERROR(INDEX($G$7:$I$200,MATCH(A135,$G$7:$G$200,0),3),0))</f>
        <v/>
      </c>
      <c r="E135" s="19" t="str">
        <f t="shared" si="6"/>
        <v xml:space="preserve"> </v>
      </c>
      <c r="G135" s="19" t="str">
        <f t="array" ref="G135">IFERROR(IF(ROWS($G$5:G133)&lt;=$G$5,INDEX(Lista2[Código],SMALL(IF(FREQUENCY(IF(Lista2[Código]&lt;&gt;"",
    MATCH("~"&amp;Lista2[Código]&amp;"",Lista2[Código]&amp;"",0)),ROW(Lista2[Código])-ROW(Inicio!$A$9)+1),ROW(Lista2[Código])-ROW(Inicio!$A$9)+1),
      ROWS($G$5:G133))),""),"")</f>
        <v/>
      </c>
      <c r="H135" s="19" t="str">
        <f>IFERROR(VLOOKUP(G135,Lista2[],2,FALSE),"")</f>
        <v/>
      </c>
      <c r="I135" s="1" t="str">
        <f>IF(G135&lt;&gt;"",SUMIF(Lista2[Código],G135,Lista2[Qtd]),"")</f>
        <v/>
      </c>
      <c r="J135" s="1" t="str">
        <f t="shared" si="7"/>
        <v/>
      </c>
      <c r="K135" s="19" t="str">
        <f t="shared" si="8"/>
        <v xml:space="preserve"> </v>
      </c>
    </row>
    <row r="136" spans="1:11" s="19" customFormat="1" x14ac:dyDescent="0.25">
      <c r="A136" s="19" t="str">
        <f t="array" ref="A136">IFERROR(IF(ROWS($A$5:A134)&lt;=$A$5,INDEX(Lista1[Código],SMALL(IF(FREQUENCY(IF(Lista1[Código]&lt;&gt;"",
    MATCH("~"&amp;Lista1[Código]&amp;"",Lista1[Código]&amp;"",0)),ROW(Lista1[Código])-ROW(Inicio!$A$9)+1),ROW(Lista1[Código])-ROW(Inicio!$A$9)+1),
      ROWS($A$5:A134))),""),"")</f>
        <v/>
      </c>
      <c r="B136" s="19" t="str">
        <f>IFERROR(VLOOKUP(A136,Lista1[],2,FALSE),"")</f>
        <v/>
      </c>
      <c r="C136" s="1" t="str">
        <f>IF(A136&lt;&gt;"",SUMIF(Lista1[Código],A136,Lista1[Qtd]),"")</f>
        <v/>
      </c>
      <c r="D136" s="1" t="str">
        <f t="shared" si="10"/>
        <v/>
      </c>
      <c r="E136" s="19" t="str">
        <f t="shared" ref="E136:E199" si="11">IF(C136=""," ",IF(D136=0,"u",IF((C136-D136)=0,"i",IF((C136-D136)&gt;0,"ma","me"))))</f>
        <v xml:space="preserve"> </v>
      </c>
      <c r="G136" s="19" t="str">
        <f t="array" ref="G136">IFERROR(IF(ROWS($G$5:G134)&lt;=$G$5,INDEX(Lista2[Código],SMALL(IF(FREQUENCY(IF(Lista2[Código]&lt;&gt;"",
    MATCH("~"&amp;Lista2[Código]&amp;"",Lista2[Código]&amp;"",0)),ROW(Lista2[Código])-ROW(Inicio!$A$9)+1),ROW(Lista2[Código])-ROW(Inicio!$A$9)+1),
      ROWS($G$5:G134))),""),"")</f>
        <v/>
      </c>
      <c r="H136" s="19" t="str">
        <f>IFERROR(VLOOKUP(G136,Lista2[],2,FALSE),"")</f>
        <v/>
      </c>
      <c r="I136" s="1" t="str">
        <f>IF(G136&lt;&gt;"",SUMIF(Lista2[Código],G136,Lista2[Qtd]),"")</f>
        <v/>
      </c>
      <c r="J136" s="1" t="str">
        <f t="shared" ref="J136:J199" si="12">IF(G136="","",IFERROR(INDEX($A$7:$C$200,MATCH(G136,$A$7:$A$200,0),3),0))</f>
        <v/>
      </c>
      <c r="K136" s="19" t="str">
        <f t="shared" ref="K136:K199" si="13">IF(I136=""," ",IF(J136=0,"u",IF((I136-J136)=0,"i",IF((I136-J136)&gt;0,"ma","me"))))</f>
        <v xml:space="preserve"> </v>
      </c>
    </row>
    <row r="137" spans="1:11" s="19" customFormat="1" x14ac:dyDescent="0.25">
      <c r="A137" s="19" t="str">
        <f t="array" ref="A137">IFERROR(IF(ROWS($A$5:A135)&lt;=$A$5,INDEX(Lista1[Código],SMALL(IF(FREQUENCY(IF(Lista1[Código]&lt;&gt;"",
    MATCH("~"&amp;Lista1[Código]&amp;"",Lista1[Código]&amp;"",0)),ROW(Lista1[Código])-ROW(Inicio!$A$9)+1),ROW(Lista1[Código])-ROW(Inicio!$A$9)+1),
      ROWS($A$5:A135))),""),"")</f>
        <v/>
      </c>
      <c r="B137" s="19" t="str">
        <f>IFERROR(VLOOKUP(A137,Lista1[],2,FALSE),"")</f>
        <v/>
      </c>
      <c r="C137" s="1" t="str">
        <f>IF(A137&lt;&gt;"",SUMIF(Lista1[Código],A137,Lista1[Qtd]),"")</f>
        <v/>
      </c>
      <c r="D137" s="1" t="str">
        <f t="shared" si="10"/>
        <v/>
      </c>
      <c r="E137" s="19" t="str">
        <f t="shared" si="11"/>
        <v xml:space="preserve"> </v>
      </c>
      <c r="G137" s="19" t="str">
        <f t="array" ref="G137">IFERROR(IF(ROWS($G$5:G135)&lt;=$G$5,INDEX(Lista2[Código],SMALL(IF(FREQUENCY(IF(Lista2[Código]&lt;&gt;"",
    MATCH("~"&amp;Lista2[Código]&amp;"",Lista2[Código]&amp;"",0)),ROW(Lista2[Código])-ROW(Inicio!$A$9)+1),ROW(Lista2[Código])-ROW(Inicio!$A$9)+1),
      ROWS($G$5:G135))),""),"")</f>
        <v/>
      </c>
      <c r="H137" s="19" t="str">
        <f>IFERROR(VLOOKUP(G137,Lista2[],2,FALSE),"")</f>
        <v/>
      </c>
      <c r="I137" s="1" t="str">
        <f>IF(G137&lt;&gt;"",SUMIF(Lista2[Código],G137,Lista2[Qtd]),"")</f>
        <v/>
      </c>
      <c r="J137" s="1" t="str">
        <f t="shared" si="12"/>
        <v/>
      </c>
      <c r="K137" s="19" t="str">
        <f t="shared" si="13"/>
        <v xml:space="preserve"> </v>
      </c>
    </row>
    <row r="138" spans="1:11" s="19" customFormat="1" x14ac:dyDescent="0.25">
      <c r="A138" s="19" t="str">
        <f t="array" ref="A138">IFERROR(IF(ROWS($A$5:A136)&lt;=$A$5,INDEX(Lista1[Código],SMALL(IF(FREQUENCY(IF(Lista1[Código]&lt;&gt;"",
    MATCH("~"&amp;Lista1[Código]&amp;"",Lista1[Código]&amp;"",0)),ROW(Lista1[Código])-ROW(Inicio!$A$9)+1),ROW(Lista1[Código])-ROW(Inicio!$A$9)+1),
      ROWS($A$5:A136))),""),"")</f>
        <v/>
      </c>
      <c r="B138" s="19" t="str">
        <f>IFERROR(VLOOKUP(A138,Lista1[],2,FALSE),"")</f>
        <v/>
      </c>
      <c r="C138" s="1" t="str">
        <f>IF(A138&lt;&gt;"",SUMIF(Lista1[Código],A138,Lista1[Qtd]),"")</f>
        <v/>
      </c>
      <c r="D138" s="1" t="str">
        <f t="shared" si="10"/>
        <v/>
      </c>
      <c r="E138" s="19" t="str">
        <f t="shared" si="11"/>
        <v xml:space="preserve"> </v>
      </c>
      <c r="G138" s="19" t="str">
        <f t="array" ref="G138">IFERROR(IF(ROWS($G$5:G136)&lt;=$G$5,INDEX(Lista2[Código],SMALL(IF(FREQUENCY(IF(Lista2[Código]&lt;&gt;"",
    MATCH("~"&amp;Lista2[Código]&amp;"",Lista2[Código]&amp;"",0)),ROW(Lista2[Código])-ROW(Inicio!$A$9)+1),ROW(Lista2[Código])-ROW(Inicio!$A$9)+1),
      ROWS($G$5:G136))),""),"")</f>
        <v/>
      </c>
      <c r="H138" s="19" t="str">
        <f>IFERROR(VLOOKUP(G138,Lista2[],2,FALSE),"")</f>
        <v/>
      </c>
      <c r="I138" s="1" t="str">
        <f>IF(G138&lt;&gt;"",SUMIF(Lista2[Código],G138,Lista2[Qtd]),"")</f>
        <v/>
      </c>
      <c r="J138" s="1" t="str">
        <f t="shared" si="12"/>
        <v/>
      </c>
      <c r="K138" s="19" t="str">
        <f t="shared" si="13"/>
        <v xml:space="preserve"> </v>
      </c>
    </row>
    <row r="139" spans="1:11" s="19" customFormat="1" x14ac:dyDescent="0.25">
      <c r="A139" s="19" t="str">
        <f t="array" ref="A139">IFERROR(IF(ROWS($A$5:A137)&lt;=$A$5,INDEX(Lista1[Código],SMALL(IF(FREQUENCY(IF(Lista1[Código]&lt;&gt;"",
    MATCH("~"&amp;Lista1[Código]&amp;"",Lista1[Código]&amp;"",0)),ROW(Lista1[Código])-ROW(Inicio!$A$9)+1),ROW(Lista1[Código])-ROW(Inicio!$A$9)+1),
      ROWS($A$5:A137))),""),"")</f>
        <v/>
      </c>
      <c r="B139" s="19" t="str">
        <f>IFERROR(VLOOKUP(A139,Lista1[],2,FALSE),"")</f>
        <v/>
      </c>
      <c r="C139" s="1" t="str">
        <f>IF(A139&lt;&gt;"",SUMIF(Lista1[Código],A139,Lista1[Qtd]),"")</f>
        <v/>
      </c>
      <c r="D139" s="1" t="str">
        <f t="shared" si="10"/>
        <v/>
      </c>
      <c r="E139" s="19" t="str">
        <f t="shared" si="11"/>
        <v xml:space="preserve"> </v>
      </c>
      <c r="G139" s="19" t="str">
        <f t="array" ref="G139">IFERROR(IF(ROWS($G$5:G137)&lt;=$G$5,INDEX(Lista2[Código],SMALL(IF(FREQUENCY(IF(Lista2[Código]&lt;&gt;"",
    MATCH("~"&amp;Lista2[Código]&amp;"",Lista2[Código]&amp;"",0)),ROW(Lista2[Código])-ROW(Inicio!$A$9)+1),ROW(Lista2[Código])-ROW(Inicio!$A$9)+1),
      ROWS($G$5:G137))),""),"")</f>
        <v/>
      </c>
      <c r="H139" s="19" t="str">
        <f>IFERROR(VLOOKUP(G139,Lista2[],2,FALSE),"")</f>
        <v/>
      </c>
      <c r="I139" s="1" t="str">
        <f>IF(G139&lt;&gt;"",SUMIF(Lista2[Código],G139,Lista2[Qtd]),"")</f>
        <v/>
      </c>
      <c r="J139" s="1" t="str">
        <f t="shared" si="12"/>
        <v/>
      </c>
      <c r="K139" s="19" t="str">
        <f t="shared" si="13"/>
        <v xml:space="preserve"> </v>
      </c>
    </row>
    <row r="140" spans="1:11" s="19" customFormat="1" x14ac:dyDescent="0.25">
      <c r="A140" s="19" t="str">
        <f t="array" ref="A140">IFERROR(IF(ROWS($A$5:A138)&lt;=$A$5,INDEX(Lista1[Código],SMALL(IF(FREQUENCY(IF(Lista1[Código]&lt;&gt;"",
    MATCH("~"&amp;Lista1[Código]&amp;"",Lista1[Código]&amp;"",0)),ROW(Lista1[Código])-ROW(Inicio!$A$9)+1),ROW(Lista1[Código])-ROW(Inicio!$A$9)+1),
      ROWS($A$5:A138))),""),"")</f>
        <v/>
      </c>
      <c r="B140" s="19" t="str">
        <f>IFERROR(VLOOKUP(A140,Lista1[],2,FALSE),"")</f>
        <v/>
      </c>
      <c r="C140" s="1" t="str">
        <f>IF(A140&lt;&gt;"",SUMIF(Lista1[Código],A140,Lista1[Qtd]),"")</f>
        <v/>
      </c>
      <c r="D140" s="1" t="str">
        <f t="shared" si="10"/>
        <v/>
      </c>
      <c r="E140" s="19" t="str">
        <f t="shared" si="11"/>
        <v xml:space="preserve"> </v>
      </c>
      <c r="G140" s="19" t="str">
        <f t="array" ref="G140">IFERROR(IF(ROWS($G$5:G138)&lt;=$G$5,INDEX(Lista2[Código],SMALL(IF(FREQUENCY(IF(Lista2[Código]&lt;&gt;"",
    MATCH("~"&amp;Lista2[Código]&amp;"",Lista2[Código]&amp;"",0)),ROW(Lista2[Código])-ROW(Inicio!$A$9)+1),ROW(Lista2[Código])-ROW(Inicio!$A$9)+1),
      ROWS($G$5:G138))),""),"")</f>
        <v/>
      </c>
      <c r="H140" s="19" t="str">
        <f>IFERROR(VLOOKUP(G140,Lista2[],2,FALSE),"")</f>
        <v/>
      </c>
      <c r="I140" s="1" t="str">
        <f>IF(G140&lt;&gt;"",SUMIF(Lista2[Código],G140,Lista2[Qtd]),"")</f>
        <v/>
      </c>
      <c r="J140" s="1" t="str">
        <f t="shared" si="12"/>
        <v/>
      </c>
      <c r="K140" s="19" t="str">
        <f t="shared" si="13"/>
        <v xml:space="preserve"> </v>
      </c>
    </row>
    <row r="141" spans="1:11" s="19" customFormat="1" x14ac:dyDescent="0.25">
      <c r="A141" s="19" t="str">
        <f t="array" ref="A141">IFERROR(IF(ROWS($A$5:A139)&lt;=$A$5,INDEX(Lista1[Código],SMALL(IF(FREQUENCY(IF(Lista1[Código]&lt;&gt;"",
    MATCH("~"&amp;Lista1[Código]&amp;"",Lista1[Código]&amp;"",0)),ROW(Lista1[Código])-ROW(Inicio!$A$9)+1),ROW(Lista1[Código])-ROW(Inicio!$A$9)+1),
      ROWS($A$5:A139))),""),"")</f>
        <v/>
      </c>
      <c r="B141" s="19" t="str">
        <f>IFERROR(VLOOKUP(A141,Lista1[],2,FALSE),"")</f>
        <v/>
      </c>
      <c r="C141" s="1" t="str">
        <f>IF(A141&lt;&gt;"",SUMIF(Lista1[Código],A141,Lista1[Qtd]),"")</f>
        <v/>
      </c>
      <c r="D141" s="1" t="str">
        <f t="shared" si="10"/>
        <v/>
      </c>
      <c r="E141" s="19" t="str">
        <f t="shared" si="11"/>
        <v xml:space="preserve"> </v>
      </c>
      <c r="G141" s="19" t="str">
        <f t="array" ref="G141">IFERROR(IF(ROWS($G$5:G139)&lt;=$G$5,INDEX(Lista2[Código],SMALL(IF(FREQUENCY(IF(Lista2[Código]&lt;&gt;"",
    MATCH("~"&amp;Lista2[Código]&amp;"",Lista2[Código]&amp;"",0)),ROW(Lista2[Código])-ROW(Inicio!$A$9)+1),ROW(Lista2[Código])-ROW(Inicio!$A$9)+1),
      ROWS($G$5:G139))),""),"")</f>
        <v/>
      </c>
      <c r="H141" s="19" t="str">
        <f>IFERROR(VLOOKUP(G141,Lista2[],2,FALSE),"")</f>
        <v/>
      </c>
      <c r="I141" s="1" t="str">
        <f>IF(G141&lt;&gt;"",SUMIF(Lista2[Código],G141,Lista2[Qtd]),"")</f>
        <v/>
      </c>
      <c r="J141" s="1" t="str">
        <f t="shared" si="12"/>
        <v/>
      </c>
      <c r="K141" s="19" t="str">
        <f t="shared" si="13"/>
        <v xml:space="preserve"> </v>
      </c>
    </row>
    <row r="142" spans="1:11" s="19" customFormat="1" x14ac:dyDescent="0.25">
      <c r="A142" s="19" t="str">
        <f t="array" ref="A142">IFERROR(IF(ROWS($A$5:A140)&lt;=$A$5,INDEX(Lista1[Código],SMALL(IF(FREQUENCY(IF(Lista1[Código]&lt;&gt;"",
    MATCH("~"&amp;Lista1[Código]&amp;"",Lista1[Código]&amp;"",0)),ROW(Lista1[Código])-ROW(Inicio!$A$9)+1),ROW(Lista1[Código])-ROW(Inicio!$A$9)+1),
      ROWS($A$5:A140))),""),"")</f>
        <v/>
      </c>
      <c r="B142" s="19" t="str">
        <f>IFERROR(VLOOKUP(A142,Lista1[],2,FALSE),"")</f>
        <v/>
      </c>
      <c r="C142" s="1" t="str">
        <f>IF(A142&lt;&gt;"",SUMIF(Lista1[Código],A142,Lista1[Qtd]),"")</f>
        <v/>
      </c>
      <c r="D142" s="1" t="str">
        <f t="shared" si="10"/>
        <v/>
      </c>
      <c r="E142" s="19" t="str">
        <f t="shared" si="11"/>
        <v xml:space="preserve"> </v>
      </c>
      <c r="G142" s="19" t="str">
        <f t="array" ref="G142">IFERROR(IF(ROWS($G$5:G140)&lt;=$G$5,INDEX(Lista2[Código],SMALL(IF(FREQUENCY(IF(Lista2[Código]&lt;&gt;"",
    MATCH("~"&amp;Lista2[Código]&amp;"",Lista2[Código]&amp;"",0)),ROW(Lista2[Código])-ROW(Inicio!$A$9)+1),ROW(Lista2[Código])-ROW(Inicio!$A$9)+1),
      ROWS($G$5:G140))),""),"")</f>
        <v/>
      </c>
      <c r="H142" s="19" t="str">
        <f>IFERROR(VLOOKUP(G142,Lista2[],2,FALSE),"")</f>
        <v/>
      </c>
      <c r="I142" s="1" t="str">
        <f>IF(G142&lt;&gt;"",SUMIF(Lista2[Código],G142,Lista2[Qtd]),"")</f>
        <v/>
      </c>
      <c r="J142" s="1" t="str">
        <f t="shared" si="12"/>
        <v/>
      </c>
      <c r="K142" s="19" t="str">
        <f t="shared" si="13"/>
        <v xml:space="preserve"> </v>
      </c>
    </row>
    <row r="143" spans="1:11" s="19" customFormat="1" x14ac:dyDescent="0.25">
      <c r="A143" s="19" t="str">
        <f t="array" ref="A143">IFERROR(IF(ROWS($A$5:A141)&lt;=$A$5,INDEX(Lista1[Código],SMALL(IF(FREQUENCY(IF(Lista1[Código]&lt;&gt;"",
    MATCH("~"&amp;Lista1[Código]&amp;"",Lista1[Código]&amp;"",0)),ROW(Lista1[Código])-ROW(Inicio!$A$9)+1),ROW(Lista1[Código])-ROW(Inicio!$A$9)+1),
      ROWS($A$5:A141))),""),"")</f>
        <v/>
      </c>
      <c r="B143" s="19" t="str">
        <f>IFERROR(VLOOKUP(A143,Lista1[],2,FALSE),"")</f>
        <v/>
      </c>
      <c r="C143" s="1" t="str">
        <f>IF(A143&lt;&gt;"",SUMIF(Lista1[Código],A143,Lista1[Qtd]),"")</f>
        <v/>
      </c>
      <c r="D143" s="1" t="str">
        <f t="shared" si="10"/>
        <v/>
      </c>
      <c r="E143" s="19" t="str">
        <f t="shared" si="11"/>
        <v xml:space="preserve"> </v>
      </c>
      <c r="G143" s="19" t="str">
        <f t="array" ref="G143">IFERROR(IF(ROWS($G$5:G141)&lt;=$G$5,INDEX(Lista2[Código],SMALL(IF(FREQUENCY(IF(Lista2[Código]&lt;&gt;"",
    MATCH("~"&amp;Lista2[Código]&amp;"",Lista2[Código]&amp;"",0)),ROW(Lista2[Código])-ROW(Inicio!$A$9)+1),ROW(Lista2[Código])-ROW(Inicio!$A$9)+1),
      ROWS($G$5:G141))),""),"")</f>
        <v/>
      </c>
      <c r="H143" s="19" t="str">
        <f>IFERROR(VLOOKUP(G143,Lista2[],2,FALSE),"")</f>
        <v/>
      </c>
      <c r="I143" s="1" t="str">
        <f>IF(G143&lt;&gt;"",SUMIF(Lista2[Código],G143,Lista2[Qtd]),"")</f>
        <v/>
      </c>
      <c r="J143" s="1" t="str">
        <f t="shared" si="12"/>
        <v/>
      </c>
      <c r="K143" s="19" t="str">
        <f t="shared" si="13"/>
        <v xml:space="preserve"> </v>
      </c>
    </row>
    <row r="144" spans="1:11" s="19" customFormat="1" x14ac:dyDescent="0.25">
      <c r="A144" s="19" t="str">
        <f t="array" ref="A144">IFERROR(IF(ROWS($A$5:A142)&lt;=$A$5,INDEX(Lista1[Código],SMALL(IF(FREQUENCY(IF(Lista1[Código]&lt;&gt;"",
    MATCH("~"&amp;Lista1[Código]&amp;"",Lista1[Código]&amp;"",0)),ROW(Lista1[Código])-ROW(Inicio!$A$9)+1),ROW(Lista1[Código])-ROW(Inicio!$A$9)+1),
      ROWS($A$5:A142))),""),"")</f>
        <v/>
      </c>
      <c r="B144" s="19" t="str">
        <f>IFERROR(VLOOKUP(A144,Lista1[],2,FALSE),"")</f>
        <v/>
      </c>
      <c r="C144" s="1" t="str">
        <f>IF(A144&lt;&gt;"",SUMIF(Lista1[Código],A144,Lista1[Qtd]),"")</f>
        <v/>
      </c>
      <c r="D144" s="1" t="str">
        <f t="shared" si="10"/>
        <v/>
      </c>
      <c r="E144" s="19" t="str">
        <f t="shared" si="11"/>
        <v xml:space="preserve"> </v>
      </c>
      <c r="G144" s="19" t="str">
        <f t="array" ref="G144">IFERROR(IF(ROWS($G$5:G142)&lt;=$G$5,INDEX(Lista2[Código],SMALL(IF(FREQUENCY(IF(Lista2[Código]&lt;&gt;"",
    MATCH("~"&amp;Lista2[Código]&amp;"",Lista2[Código]&amp;"",0)),ROW(Lista2[Código])-ROW(Inicio!$A$9)+1),ROW(Lista2[Código])-ROW(Inicio!$A$9)+1),
      ROWS($G$5:G142))),""),"")</f>
        <v/>
      </c>
      <c r="H144" s="19" t="str">
        <f>IFERROR(VLOOKUP(G144,Lista2[],2,FALSE),"")</f>
        <v/>
      </c>
      <c r="I144" s="1" t="str">
        <f>IF(G144&lt;&gt;"",SUMIF(Lista2[Código],G144,Lista2[Qtd]),"")</f>
        <v/>
      </c>
      <c r="J144" s="1" t="str">
        <f t="shared" si="12"/>
        <v/>
      </c>
      <c r="K144" s="19" t="str">
        <f t="shared" si="13"/>
        <v xml:space="preserve"> </v>
      </c>
    </row>
    <row r="145" spans="1:11" s="19" customFormat="1" x14ac:dyDescent="0.25">
      <c r="A145" s="19" t="str">
        <f t="array" ref="A145">IFERROR(IF(ROWS($A$5:A143)&lt;=$A$5,INDEX(Lista1[Código],SMALL(IF(FREQUENCY(IF(Lista1[Código]&lt;&gt;"",
    MATCH("~"&amp;Lista1[Código]&amp;"",Lista1[Código]&amp;"",0)),ROW(Lista1[Código])-ROW(Inicio!$A$9)+1),ROW(Lista1[Código])-ROW(Inicio!$A$9)+1),
      ROWS($A$5:A143))),""),"")</f>
        <v/>
      </c>
      <c r="B145" s="19" t="str">
        <f>IFERROR(VLOOKUP(A145,Lista1[],2,FALSE),"")</f>
        <v/>
      </c>
      <c r="C145" s="1" t="str">
        <f>IF(A145&lt;&gt;"",SUMIF(Lista1[Código],A145,Lista1[Qtd]),"")</f>
        <v/>
      </c>
      <c r="D145" s="1" t="str">
        <f t="shared" si="10"/>
        <v/>
      </c>
      <c r="E145" s="19" t="str">
        <f t="shared" si="11"/>
        <v xml:space="preserve"> </v>
      </c>
      <c r="G145" s="19" t="str">
        <f t="array" ref="G145">IFERROR(IF(ROWS($G$5:G143)&lt;=$G$5,INDEX(Lista2[Código],SMALL(IF(FREQUENCY(IF(Lista2[Código]&lt;&gt;"",
    MATCH("~"&amp;Lista2[Código]&amp;"",Lista2[Código]&amp;"",0)),ROW(Lista2[Código])-ROW(Inicio!$A$9)+1),ROW(Lista2[Código])-ROW(Inicio!$A$9)+1),
      ROWS($G$5:G143))),""),"")</f>
        <v/>
      </c>
      <c r="H145" s="19" t="str">
        <f>IFERROR(VLOOKUP(G145,Lista2[],2,FALSE),"")</f>
        <v/>
      </c>
      <c r="I145" s="1" t="str">
        <f>IF(G145&lt;&gt;"",SUMIF(Lista2[Código],G145,Lista2[Qtd]),"")</f>
        <v/>
      </c>
      <c r="J145" s="1" t="str">
        <f t="shared" si="12"/>
        <v/>
      </c>
      <c r="K145" s="19" t="str">
        <f t="shared" si="13"/>
        <v xml:space="preserve"> </v>
      </c>
    </row>
    <row r="146" spans="1:11" s="19" customFormat="1" x14ac:dyDescent="0.25">
      <c r="A146" s="19" t="str">
        <f t="array" ref="A146">IFERROR(IF(ROWS($A$5:A144)&lt;=$A$5,INDEX(Lista1[Código],SMALL(IF(FREQUENCY(IF(Lista1[Código]&lt;&gt;"",
    MATCH("~"&amp;Lista1[Código]&amp;"",Lista1[Código]&amp;"",0)),ROW(Lista1[Código])-ROW(Inicio!$A$9)+1),ROW(Lista1[Código])-ROW(Inicio!$A$9)+1),
      ROWS($A$5:A144))),""),"")</f>
        <v/>
      </c>
      <c r="B146" s="19" t="str">
        <f>IFERROR(VLOOKUP(A146,Lista1[],2,FALSE),"")</f>
        <v/>
      </c>
      <c r="C146" s="1" t="str">
        <f>IF(A146&lt;&gt;"",SUMIF(Lista1[Código],A146,Lista1[Qtd]),"")</f>
        <v/>
      </c>
      <c r="D146" s="1" t="str">
        <f t="shared" si="10"/>
        <v/>
      </c>
      <c r="E146" s="19" t="str">
        <f t="shared" si="11"/>
        <v xml:space="preserve"> </v>
      </c>
      <c r="G146" s="19" t="str">
        <f t="array" ref="G146">IFERROR(IF(ROWS($G$5:G144)&lt;=$G$5,INDEX(Lista2[Código],SMALL(IF(FREQUENCY(IF(Lista2[Código]&lt;&gt;"",
    MATCH("~"&amp;Lista2[Código]&amp;"",Lista2[Código]&amp;"",0)),ROW(Lista2[Código])-ROW(Inicio!$A$9)+1),ROW(Lista2[Código])-ROW(Inicio!$A$9)+1),
      ROWS($G$5:G144))),""),"")</f>
        <v/>
      </c>
      <c r="H146" s="19" t="str">
        <f>IFERROR(VLOOKUP(G146,Lista2[],2,FALSE),"")</f>
        <v/>
      </c>
      <c r="I146" s="1" t="str">
        <f>IF(G146&lt;&gt;"",SUMIF(Lista2[Código],G146,Lista2[Qtd]),"")</f>
        <v/>
      </c>
      <c r="J146" s="1" t="str">
        <f t="shared" si="12"/>
        <v/>
      </c>
      <c r="K146" s="19" t="str">
        <f t="shared" si="13"/>
        <v xml:space="preserve"> </v>
      </c>
    </row>
    <row r="147" spans="1:11" s="19" customFormat="1" x14ac:dyDescent="0.25">
      <c r="A147" s="19" t="str">
        <f t="array" ref="A147">IFERROR(IF(ROWS($A$5:A145)&lt;=$A$5,INDEX(Lista1[Código],SMALL(IF(FREQUENCY(IF(Lista1[Código]&lt;&gt;"",
    MATCH("~"&amp;Lista1[Código]&amp;"",Lista1[Código]&amp;"",0)),ROW(Lista1[Código])-ROW(Inicio!$A$9)+1),ROW(Lista1[Código])-ROW(Inicio!$A$9)+1),
      ROWS($A$5:A145))),""),"")</f>
        <v/>
      </c>
      <c r="B147" s="19" t="str">
        <f>IFERROR(VLOOKUP(A147,Lista1[],2,FALSE),"")</f>
        <v/>
      </c>
      <c r="C147" s="1" t="str">
        <f>IF(A147&lt;&gt;"",SUMIF(Lista1[Código],A147,Lista1[Qtd]),"")</f>
        <v/>
      </c>
      <c r="D147" s="1" t="str">
        <f t="shared" si="10"/>
        <v/>
      </c>
      <c r="E147" s="19" t="str">
        <f t="shared" si="11"/>
        <v xml:space="preserve"> </v>
      </c>
      <c r="G147" s="19" t="str">
        <f t="array" ref="G147">IFERROR(IF(ROWS($G$5:G145)&lt;=$G$5,INDEX(Lista2[Código],SMALL(IF(FREQUENCY(IF(Lista2[Código]&lt;&gt;"",
    MATCH("~"&amp;Lista2[Código]&amp;"",Lista2[Código]&amp;"",0)),ROW(Lista2[Código])-ROW(Inicio!$A$9)+1),ROW(Lista2[Código])-ROW(Inicio!$A$9)+1),
      ROWS($G$5:G145))),""),"")</f>
        <v/>
      </c>
      <c r="H147" s="19" t="str">
        <f>IFERROR(VLOOKUP(G147,Lista2[],2,FALSE),"")</f>
        <v/>
      </c>
      <c r="I147" s="1" t="str">
        <f>IF(G147&lt;&gt;"",SUMIF(Lista2[Código],G147,Lista2[Qtd]),"")</f>
        <v/>
      </c>
      <c r="J147" s="1" t="str">
        <f t="shared" si="12"/>
        <v/>
      </c>
      <c r="K147" s="19" t="str">
        <f t="shared" si="13"/>
        <v xml:space="preserve"> </v>
      </c>
    </row>
    <row r="148" spans="1:11" s="19" customFormat="1" x14ac:dyDescent="0.25">
      <c r="A148" s="19" t="str">
        <f t="array" ref="A148">IFERROR(IF(ROWS($A$5:A146)&lt;=$A$5,INDEX(Lista1[Código],SMALL(IF(FREQUENCY(IF(Lista1[Código]&lt;&gt;"",
    MATCH("~"&amp;Lista1[Código]&amp;"",Lista1[Código]&amp;"",0)),ROW(Lista1[Código])-ROW(Inicio!$A$9)+1),ROW(Lista1[Código])-ROW(Inicio!$A$9)+1),
      ROWS($A$5:A146))),""),"")</f>
        <v/>
      </c>
      <c r="B148" s="19" t="str">
        <f>IFERROR(VLOOKUP(A148,Lista1[],2,FALSE),"")</f>
        <v/>
      </c>
      <c r="C148" s="1" t="str">
        <f>IF(A148&lt;&gt;"",SUMIF(Lista1[Código],A148,Lista1[Qtd]),"")</f>
        <v/>
      </c>
      <c r="D148" s="1" t="str">
        <f t="shared" si="10"/>
        <v/>
      </c>
      <c r="E148" s="19" t="str">
        <f t="shared" si="11"/>
        <v xml:space="preserve"> </v>
      </c>
      <c r="G148" s="19" t="str">
        <f t="array" ref="G148">IFERROR(IF(ROWS($G$5:G146)&lt;=$G$5,INDEX(Lista2[Código],SMALL(IF(FREQUENCY(IF(Lista2[Código]&lt;&gt;"",
    MATCH("~"&amp;Lista2[Código]&amp;"",Lista2[Código]&amp;"",0)),ROW(Lista2[Código])-ROW(Inicio!$A$9)+1),ROW(Lista2[Código])-ROW(Inicio!$A$9)+1),
      ROWS($G$5:G146))),""),"")</f>
        <v/>
      </c>
      <c r="H148" s="19" t="str">
        <f>IFERROR(VLOOKUP(G148,Lista2[],2,FALSE),"")</f>
        <v/>
      </c>
      <c r="I148" s="1" t="str">
        <f>IF(G148&lt;&gt;"",SUMIF(Lista2[Código],G148,Lista2[Qtd]),"")</f>
        <v/>
      </c>
      <c r="J148" s="1" t="str">
        <f t="shared" si="12"/>
        <v/>
      </c>
      <c r="K148" s="19" t="str">
        <f t="shared" si="13"/>
        <v xml:space="preserve"> </v>
      </c>
    </row>
    <row r="149" spans="1:11" s="19" customFormat="1" x14ac:dyDescent="0.25">
      <c r="A149" s="19" t="str">
        <f t="array" ref="A149">IFERROR(IF(ROWS($A$5:A147)&lt;=$A$5,INDEX(Lista1[Código],SMALL(IF(FREQUENCY(IF(Lista1[Código]&lt;&gt;"",
    MATCH("~"&amp;Lista1[Código]&amp;"",Lista1[Código]&amp;"",0)),ROW(Lista1[Código])-ROW(Inicio!$A$9)+1),ROW(Lista1[Código])-ROW(Inicio!$A$9)+1),
      ROWS($A$5:A147))),""),"")</f>
        <v/>
      </c>
      <c r="B149" s="19" t="str">
        <f>IFERROR(VLOOKUP(A149,Lista1[],2,FALSE),"")</f>
        <v/>
      </c>
      <c r="C149" s="1" t="str">
        <f>IF(A149&lt;&gt;"",SUMIF(Lista1[Código],A149,Lista1[Qtd]),"")</f>
        <v/>
      </c>
      <c r="D149" s="1" t="str">
        <f t="shared" si="10"/>
        <v/>
      </c>
      <c r="E149" s="19" t="str">
        <f t="shared" si="11"/>
        <v xml:space="preserve"> </v>
      </c>
      <c r="G149" s="19" t="str">
        <f t="array" ref="G149">IFERROR(IF(ROWS($G$5:G147)&lt;=$G$5,INDEX(Lista2[Código],SMALL(IF(FREQUENCY(IF(Lista2[Código]&lt;&gt;"",
    MATCH("~"&amp;Lista2[Código]&amp;"",Lista2[Código]&amp;"",0)),ROW(Lista2[Código])-ROW(Inicio!$A$9)+1),ROW(Lista2[Código])-ROW(Inicio!$A$9)+1),
      ROWS($G$5:G147))),""),"")</f>
        <v/>
      </c>
      <c r="H149" s="19" t="str">
        <f>IFERROR(VLOOKUP(G149,Lista2[],2,FALSE),"")</f>
        <v/>
      </c>
      <c r="I149" s="1" t="str">
        <f>IF(G149&lt;&gt;"",SUMIF(Lista2[Código],G149,Lista2[Qtd]),"")</f>
        <v/>
      </c>
      <c r="J149" s="1" t="str">
        <f t="shared" si="12"/>
        <v/>
      </c>
      <c r="K149" s="19" t="str">
        <f t="shared" si="13"/>
        <v xml:space="preserve"> </v>
      </c>
    </row>
    <row r="150" spans="1:11" s="19" customFormat="1" x14ac:dyDescent="0.25">
      <c r="A150" s="19" t="str">
        <f t="array" ref="A150">IFERROR(IF(ROWS($A$5:A148)&lt;=$A$5,INDEX(Lista1[Código],SMALL(IF(FREQUENCY(IF(Lista1[Código]&lt;&gt;"",
    MATCH("~"&amp;Lista1[Código]&amp;"",Lista1[Código]&amp;"",0)),ROW(Lista1[Código])-ROW(Inicio!$A$9)+1),ROW(Lista1[Código])-ROW(Inicio!$A$9)+1),
      ROWS($A$5:A148))),""),"")</f>
        <v/>
      </c>
      <c r="B150" s="19" t="str">
        <f>IFERROR(VLOOKUP(A150,Lista1[],2,FALSE),"")</f>
        <v/>
      </c>
      <c r="C150" s="1" t="str">
        <f>IF(A150&lt;&gt;"",SUMIF(Lista1[Código],A150,Lista1[Qtd]),"")</f>
        <v/>
      </c>
      <c r="D150" s="1" t="str">
        <f t="shared" si="10"/>
        <v/>
      </c>
      <c r="E150" s="19" t="str">
        <f t="shared" si="11"/>
        <v xml:space="preserve"> </v>
      </c>
      <c r="G150" s="19" t="str">
        <f t="array" ref="G150">IFERROR(IF(ROWS($G$5:G148)&lt;=$G$5,INDEX(Lista2[Código],SMALL(IF(FREQUENCY(IF(Lista2[Código]&lt;&gt;"",
    MATCH("~"&amp;Lista2[Código]&amp;"",Lista2[Código]&amp;"",0)),ROW(Lista2[Código])-ROW(Inicio!$A$9)+1),ROW(Lista2[Código])-ROW(Inicio!$A$9)+1),
      ROWS($G$5:G148))),""),"")</f>
        <v/>
      </c>
      <c r="H150" s="19" t="str">
        <f>IFERROR(VLOOKUP(G150,Lista2[],2,FALSE),"")</f>
        <v/>
      </c>
      <c r="I150" s="1" t="str">
        <f>IF(G150&lt;&gt;"",SUMIF(Lista2[Código],G150,Lista2[Qtd]),"")</f>
        <v/>
      </c>
      <c r="J150" s="1" t="str">
        <f t="shared" si="12"/>
        <v/>
      </c>
      <c r="K150" s="19" t="str">
        <f t="shared" si="13"/>
        <v xml:space="preserve"> </v>
      </c>
    </row>
    <row r="151" spans="1:11" s="19" customFormat="1" x14ac:dyDescent="0.25">
      <c r="A151" s="19" t="str">
        <f t="array" ref="A151">IFERROR(IF(ROWS($A$5:A149)&lt;=$A$5,INDEX(Lista1[Código],SMALL(IF(FREQUENCY(IF(Lista1[Código]&lt;&gt;"",
    MATCH("~"&amp;Lista1[Código]&amp;"",Lista1[Código]&amp;"",0)),ROW(Lista1[Código])-ROW(Inicio!$A$9)+1),ROW(Lista1[Código])-ROW(Inicio!$A$9)+1),
      ROWS($A$5:A149))),""),"")</f>
        <v/>
      </c>
      <c r="B151" s="19" t="str">
        <f>IFERROR(VLOOKUP(A151,Lista1[],2,FALSE),"")</f>
        <v/>
      </c>
      <c r="C151" s="1" t="str">
        <f>IF(A151&lt;&gt;"",SUMIF(Lista1[Código],A151,Lista1[Qtd]),"")</f>
        <v/>
      </c>
      <c r="D151" s="1" t="str">
        <f t="shared" si="10"/>
        <v/>
      </c>
      <c r="E151" s="19" t="str">
        <f t="shared" si="11"/>
        <v xml:space="preserve"> </v>
      </c>
      <c r="G151" s="19" t="str">
        <f t="array" ref="G151">IFERROR(IF(ROWS($G$5:G149)&lt;=$G$5,INDEX(Lista2[Código],SMALL(IF(FREQUENCY(IF(Lista2[Código]&lt;&gt;"",
    MATCH("~"&amp;Lista2[Código]&amp;"",Lista2[Código]&amp;"",0)),ROW(Lista2[Código])-ROW(Inicio!$A$9)+1),ROW(Lista2[Código])-ROW(Inicio!$A$9)+1),
      ROWS($G$5:G149))),""),"")</f>
        <v/>
      </c>
      <c r="H151" s="19" t="str">
        <f>IFERROR(VLOOKUP(G151,Lista2[],2,FALSE),"")</f>
        <v/>
      </c>
      <c r="I151" s="1" t="str">
        <f>IF(G151&lt;&gt;"",SUMIF(Lista2[Código],G151,Lista2[Qtd]),"")</f>
        <v/>
      </c>
      <c r="J151" s="1" t="str">
        <f t="shared" si="12"/>
        <v/>
      </c>
      <c r="K151" s="19" t="str">
        <f t="shared" si="13"/>
        <v xml:space="preserve"> </v>
      </c>
    </row>
    <row r="152" spans="1:11" s="19" customFormat="1" x14ac:dyDescent="0.25">
      <c r="A152" s="19" t="str">
        <f t="array" ref="A152">IFERROR(IF(ROWS($A$5:A150)&lt;=$A$5,INDEX(Lista1[Código],SMALL(IF(FREQUENCY(IF(Lista1[Código]&lt;&gt;"",
    MATCH("~"&amp;Lista1[Código]&amp;"",Lista1[Código]&amp;"",0)),ROW(Lista1[Código])-ROW(Inicio!$A$9)+1),ROW(Lista1[Código])-ROW(Inicio!$A$9)+1),
      ROWS($A$5:A150))),""),"")</f>
        <v/>
      </c>
      <c r="B152" s="19" t="str">
        <f>IFERROR(VLOOKUP(A152,Lista1[],2,FALSE),"")</f>
        <v/>
      </c>
      <c r="C152" s="1" t="str">
        <f>IF(A152&lt;&gt;"",SUMIF(Lista1[Código],A152,Lista1[Qtd]),"")</f>
        <v/>
      </c>
      <c r="D152" s="1" t="str">
        <f t="shared" si="10"/>
        <v/>
      </c>
      <c r="E152" s="19" t="str">
        <f t="shared" si="11"/>
        <v xml:space="preserve"> </v>
      </c>
      <c r="G152" s="19" t="str">
        <f t="array" ref="G152">IFERROR(IF(ROWS($G$5:G150)&lt;=$G$5,INDEX(Lista2[Código],SMALL(IF(FREQUENCY(IF(Lista2[Código]&lt;&gt;"",
    MATCH("~"&amp;Lista2[Código]&amp;"",Lista2[Código]&amp;"",0)),ROW(Lista2[Código])-ROW(Inicio!$A$9)+1),ROW(Lista2[Código])-ROW(Inicio!$A$9)+1),
      ROWS($G$5:G150))),""),"")</f>
        <v/>
      </c>
      <c r="H152" s="19" t="str">
        <f>IFERROR(VLOOKUP(G152,Lista2[],2,FALSE),"")</f>
        <v/>
      </c>
      <c r="I152" s="1" t="str">
        <f>IF(G152&lt;&gt;"",SUMIF(Lista2[Código],G152,Lista2[Qtd]),"")</f>
        <v/>
      </c>
      <c r="J152" s="1" t="str">
        <f t="shared" si="12"/>
        <v/>
      </c>
      <c r="K152" s="19" t="str">
        <f t="shared" si="13"/>
        <v xml:space="preserve"> </v>
      </c>
    </row>
    <row r="153" spans="1:11" s="19" customFormat="1" x14ac:dyDescent="0.25">
      <c r="A153" s="19" t="str">
        <f t="array" ref="A153">IFERROR(IF(ROWS($A$5:A151)&lt;=$A$5,INDEX(Lista1[Código],SMALL(IF(FREQUENCY(IF(Lista1[Código]&lt;&gt;"",
    MATCH("~"&amp;Lista1[Código]&amp;"",Lista1[Código]&amp;"",0)),ROW(Lista1[Código])-ROW(Inicio!$A$9)+1),ROW(Lista1[Código])-ROW(Inicio!$A$9)+1),
      ROWS($A$5:A151))),""),"")</f>
        <v/>
      </c>
      <c r="B153" s="19" t="str">
        <f>IFERROR(VLOOKUP(A153,Lista1[],2,FALSE),"")</f>
        <v/>
      </c>
      <c r="C153" s="1" t="str">
        <f>IF(A153&lt;&gt;"",SUMIF(Lista1[Código],A153,Lista1[Qtd]),"")</f>
        <v/>
      </c>
      <c r="D153" s="1" t="str">
        <f t="shared" si="10"/>
        <v/>
      </c>
      <c r="E153" s="19" t="str">
        <f t="shared" si="11"/>
        <v xml:space="preserve"> </v>
      </c>
      <c r="G153" s="19" t="str">
        <f t="array" ref="G153">IFERROR(IF(ROWS($G$5:G151)&lt;=$G$5,INDEX(Lista2[Código],SMALL(IF(FREQUENCY(IF(Lista2[Código]&lt;&gt;"",
    MATCH("~"&amp;Lista2[Código]&amp;"",Lista2[Código]&amp;"",0)),ROW(Lista2[Código])-ROW(Inicio!$A$9)+1),ROW(Lista2[Código])-ROW(Inicio!$A$9)+1),
      ROWS($G$5:G151))),""),"")</f>
        <v/>
      </c>
      <c r="H153" s="19" t="str">
        <f>IFERROR(VLOOKUP(G153,Lista2[],2,FALSE),"")</f>
        <v/>
      </c>
      <c r="I153" s="1" t="str">
        <f>IF(G153&lt;&gt;"",SUMIF(Lista2[Código],G153,Lista2[Qtd]),"")</f>
        <v/>
      </c>
      <c r="J153" s="1" t="str">
        <f t="shared" si="12"/>
        <v/>
      </c>
      <c r="K153" s="19" t="str">
        <f t="shared" si="13"/>
        <v xml:space="preserve"> </v>
      </c>
    </row>
    <row r="154" spans="1:11" s="19" customFormat="1" x14ac:dyDescent="0.25">
      <c r="A154" s="19" t="str">
        <f t="array" ref="A154">IFERROR(IF(ROWS($A$5:A152)&lt;=$A$5,INDEX(Lista1[Código],SMALL(IF(FREQUENCY(IF(Lista1[Código]&lt;&gt;"",
    MATCH("~"&amp;Lista1[Código]&amp;"",Lista1[Código]&amp;"",0)),ROW(Lista1[Código])-ROW(Inicio!$A$9)+1),ROW(Lista1[Código])-ROW(Inicio!$A$9)+1),
      ROWS($A$5:A152))),""),"")</f>
        <v/>
      </c>
      <c r="B154" s="19" t="str">
        <f>IFERROR(VLOOKUP(A154,Lista1[],2,FALSE),"")</f>
        <v/>
      </c>
      <c r="C154" s="1" t="str">
        <f>IF(A154&lt;&gt;"",SUMIF(Lista1[Código],A154,Lista1[Qtd]),"")</f>
        <v/>
      </c>
      <c r="D154" s="1" t="str">
        <f t="shared" si="10"/>
        <v/>
      </c>
      <c r="E154" s="19" t="str">
        <f t="shared" si="11"/>
        <v xml:space="preserve"> </v>
      </c>
      <c r="G154" s="19" t="str">
        <f t="array" ref="G154">IFERROR(IF(ROWS($G$5:G152)&lt;=$G$5,INDEX(Lista2[Código],SMALL(IF(FREQUENCY(IF(Lista2[Código]&lt;&gt;"",
    MATCH("~"&amp;Lista2[Código]&amp;"",Lista2[Código]&amp;"",0)),ROW(Lista2[Código])-ROW(Inicio!$A$9)+1),ROW(Lista2[Código])-ROW(Inicio!$A$9)+1),
      ROWS($G$5:G152))),""),"")</f>
        <v/>
      </c>
      <c r="H154" s="19" t="str">
        <f>IFERROR(VLOOKUP(G154,Lista2[],2,FALSE),"")</f>
        <v/>
      </c>
      <c r="I154" s="1" t="str">
        <f>IF(G154&lt;&gt;"",SUMIF(Lista2[Código],G154,Lista2[Qtd]),"")</f>
        <v/>
      </c>
      <c r="J154" s="1" t="str">
        <f t="shared" si="12"/>
        <v/>
      </c>
      <c r="K154" s="19" t="str">
        <f t="shared" si="13"/>
        <v xml:space="preserve"> </v>
      </c>
    </row>
    <row r="155" spans="1:11" s="19" customFormat="1" x14ac:dyDescent="0.25">
      <c r="A155" s="19" t="str">
        <f t="array" ref="A155">IFERROR(IF(ROWS($A$5:A153)&lt;=$A$5,INDEX(Lista1[Código],SMALL(IF(FREQUENCY(IF(Lista1[Código]&lt;&gt;"",
    MATCH("~"&amp;Lista1[Código]&amp;"",Lista1[Código]&amp;"",0)),ROW(Lista1[Código])-ROW(Inicio!$A$9)+1),ROW(Lista1[Código])-ROW(Inicio!$A$9)+1),
      ROWS($A$5:A153))),""),"")</f>
        <v/>
      </c>
      <c r="B155" s="19" t="str">
        <f>IFERROR(VLOOKUP(A155,Lista1[],2,FALSE),"")</f>
        <v/>
      </c>
      <c r="C155" s="1" t="str">
        <f>IF(A155&lt;&gt;"",SUMIF(Lista1[Código],A155,Lista1[Qtd]),"")</f>
        <v/>
      </c>
      <c r="D155" s="1" t="str">
        <f t="shared" si="10"/>
        <v/>
      </c>
      <c r="E155" s="19" t="str">
        <f t="shared" si="11"/>
        <v xml:space="preserve"> </v>
      </c>
      <c r="G155" s="19" t="str">
        <f t="array" ref="G155">IFERROR(IF(ROWS($G$5:G153)&lt;=$G$5,INDEX(Lista2[Código],SMALL(IF(FREQUENCY(IF(Lista2[Código]&lt;&gt;"",
    MATCH("~"&amp;Lista2[Código]&amp;"",Lista2[Código]&amp;"",0)),ROW(Lista2[Código])-ROW(Inicio!$A$9)+1),ROW(Lista2[Código])-ROW(Inicio!$A$9)+1),
      ROWS($G$5:G153))),""),"")</f>
        <v/>
      </c>
      <c r="H155" s="19" t="str">
        <f>IFERROR(VLOOKUP(G155,Lista2[],2,FALSE),"")</f>
        <v/>
      </c>
      <c r="I155" s="1" t="str">
        <f>IF(G155&lt;&gt;"",SUMIF(Lista2[Código],G155,Lista2[Qtd]),"")</f>
        <v/>
      </c>
      <c r="J155" s="1" t="str">
        <f t="shared" si="12"/>
        <v/>
      </c>
      <c r="K155" s="19" t="str">
        <f t="shared" si="13"/>
        <v xml:space="preserve"> </v>
      </c>
    </row>
    <row r="156" spans="1:11" s="19" customFormat="1" x14ac:dyDescent="0.25">
      <c r="A156" s="19" t="str">
        <f t="array" ref="A156">IFERROR(IF(ROWS($A$5:A154)&lt;=$A$5,INDEX(Lista1[Código],SMALL(IF(FREQUENCY(IF(Lista1[Código]&lt;&gt;"",
    MATCH("~"&amp;Lista1[Código]&amp;"",Lista1[Código]&amp;"",0)),ROW(Lista1[Código])-ROW(Inicio!$A$9)+1),ROW(Lista1[Código])-ROW(Inicio!$A$9)+1),
      ROWS($A$5:A154))),""),"")</f>
        <v/>
      </c>
      <c r="B156" s="19" t="str">
        <f>IFERROR(VLOOKUP(A156,Lista1[],2,FALSE),"")</f>
        <v/>
      </c>
      <c r="C156" s="1" t="str">
        <f>IF(A156&lt;&gt;"",SUMIF(Lista1[Código],A156,Lista1[Qtd]),"")</f>
        <v/>
      </c>
      <c r="D156" s="1" t="str">
        <f t="shared" si="10"/>
        <v/>
      </c>
      <c r="E156" s="19" t="str">
        <f t="shared" si="11"/>
        <v xml:space="preserve"> </v>
      </c>
      <c r="G156" s="19" t="str">
        <f t="array" ref="G156">IFERROR(IF(ROWS($G$5:G154)&lt;=$G$5,INDEX(Lista2[Código],SMALL(IF(FREQUENCY(IF(Lista2[Código]&lt;&gt;"",
    MATCH("~"&amp;Lista2[Código]&amp;"",Lista2[Código]&amp;"",0)),ROW(Lista2[Código])-ROW(Inicio!$A$9)+1),ROW(Lista2[Código])-ROW(Inicio!$A$9)+1),
      ROWS($G$5:G154))),""),"")</f>
        <v/>
      </c>
      <c r="H156" s="19" t="str">
        <f>IFERROR(VLOOKUP(G156,Lista2[],2,FALSE),"")</f>
        <v/>
      </c>
      <c r="I156" s="1" t="str">
        <f>IF(G156&lt;&gt;"",SUMIF(Lista2[Código],G156,Lista2[Qtd]),"")</f>
        <v/>
      </c>
      <c r="J156" s="1" t="str">
        <f t="shared" si="12"/>
        <v/>
      </c>
      <c r="K156" s="19" t="str">
        <f t="shared" si="13"/>
        <v xml:space="preserve"> </v>
      </c>
    </row>
    <row r="157" spans="1:11" s="19" customFormat="1" x14ac:dyDescent="0.25">
      <c r="A157" s="19" t="str">
        <f t="array" ref="A157">IFERROR(IF(ROWS($A$5:A155)&lt;=$A$5,INDEX(Lista1[Código],SMALL(IF(FREQUENCY(IF(Lista1[Código]&lt;&gt;"",
    MATCH("~"&amp;Lista1[Código]&amp;"",Lista1[Código]&amp;"",0)),ROW(Lista1[Código])-ROW(Inicio!$A$9)+1),ROW(Lista1[Código])-ROW(Inicio!$A$9)+1),
      ROWS($A$5:A155))),""),"")</f>
        <v/>
      </c>
      <c r="B157" s="19" t="str">
        <f>IFERROR(VLOOKUP(A157,Lista1[],2,FALSE),"")</f>
        <v/>
      </c>
      <c r="C157" s="1" t="str">
        <f>IF(A157&lt;&gt;"",SUMIF(Lista1[Código],A157,Lista1[Qtd]),"")</f>
        <v/>
      </c>
      <c r="D157" s="1" t="str">
        <f t="shared" si="10"/>
        <v/>
      </c>
      <c r="E157" s="19" t="str">
        <f t="shared" si="11"/>
        <v xml:space="preserve"> </v>
      </c>
      <c r="G157" s="19" t="str">
        <f t="array" ref="G157">IFERROR(IF(ROWS($G$5:G155)&lt;=$G$5,INDEX(Lista2[Código],SMALL(IF(FREQUENCY(IF(Lista2[Código]&lt;&gt;"",
    MATCH("~"&amp;Lista2[Código]&amp;"",Lista2[Código]&amp;"",0)),ROW(Lista2[Código])-ROW(Inicio!$A$9)+1),ROW(Lista2[Código])-ROW(Inicio!$A$9)+1),
      ROWS($G$5:G155))),""),"")</f>
        <v/>
      </c>
      <c r="H157" s="19" t="str">
        <f>IFERROR(VLOOKUP(G157,Lista2[],2,FALSE),"")</f>
        <v/>
      </c>
      <c r="I157" s="1" t="str">
        <f>IF(G157&lt;&gt;"",SUMIF(Lista2[Código],G157,Lista2[Qtd]),"")</f>
        <v/>
      </c>
      <c r="J157" s="1" t="str">
        <f t="shared" si="12"/>
        <v/>
      </c>
      <c r="K157" s="19" t="str">
        <f t="shared" si="13"/>
        <v xml:space="preserve"> </v>
      </c>
    </row>
    <row r="158" spans="1:11" s="19" customFormat="1" x14ac:dyDescent="0.25">
      <c r="A158" s="19" t="str">
        <f t="array" ref="A158">IFERROR(IF(ROWS($A$5:A156)&lt;=$A$5,INDEX(Lista1[Código],SMALL(IF(FREQUENCY(IF(Lista1[Código]&lt;&gt;"",
    MATCH("~"&amp;Lista1[Código]&amp;"",Lista1[Código]&amp;"",0)),ROW(Lista1[Código])-ROW(Inicio!$A$9)+1),ROW(Lista1[Código])-ROW(Inicio!$A$9)+1),
      ROWS($A$5:A156))),""),"")</f>
        <v/>
      </c>
      <c r="B158" s="19" t="str">
        <f>IFERROR(VLOOKUP(A158,Lista1[],2,FALSE),"")</f>
        <v/>
      </c>
      <c r="C158" s="1" t="str">
        <f>IF(A158&lt;&gt;"",SUMIF(Lista1[Código],A158,Lista1[Qtd]),"")</f>
        <v/>
      </c>
      <c r="D158" s="1" t="str">
        <f t="shared" si="10"/>
        <v/>
      </c>
      <c r="E158" s="19" t="str">
        <f t="shared" si="11"/>
        <v xml:space="preserve"> </v>
      </c>
      <c r="G158" s="19" t="str">
        <f t="array" ref="G158">IFERROR(IF(ROWS($G$5:G156)&lt;=$G$5,INDEX(Lista2[Código],SMALL(IF(FREQUENCY(IF(Lista2[Código]&lt;&gt;"",
    MATCH("~"&amp;Lista2[Código]&amp;"",Lista2[Código]&amp;"",0)),ROW(Lista2[Código])-ROW(Inicio!$A$9)+1),ROW(Lista2[Código])-ROW(Inicio!$A$9)+1),
      ROWS($G$5:G156))),""),"")</f>
        <v/>
      </c>
      <c r="H158" s="19" t="str">
        <f>IFERROR(VLOOKUP(G158,Lista2[],2,FALSE),"")</f>
        <v/>
      </c>
      <c r="I158" s="1" t="str">
        <f>IF(G158&lt;&gt;"",SUMIF(Lista2[Código],G158,Lista2[Qtd]),"")</f>
        <v/>
      </c>
      <c r="J158" s="1" t="str">
        <f t="shared" si="12"/>
        <v/>
      </c>
      <c r="K158" s="19" t="str">
        <f t="shared" si="13"/>
        <v xml:space="preserve"> </v>
      </c>
    </row>
    <row r="159" spans="1:11" s="19" customFormat="1" x14ac:dyDescent="0.25">
      <c r="A159" s="19" t="str">
        <f t="array" ref="A159">IFERROR(IF(ROWS($A$5:A157)&lt;=$A$5,INDEX(Lista1[Código],SMALL(IF(FREQUENCY(IF(Lista1[Código]&lt;&gt;"",
    MATCH("~"&amp;Lista1[Código]&amp;"",Lista1[Código]&amp;"",0)),ROW(Lista1[Código])-ROW(Inicio!$A$9)+1),ROW(Lista1[Código])-ROW(Inicio!$A$9)+1),
      ROWS($A$5:A157))),""),"")</f>
        <v/>
      </c>
      <c r="B159" s="19" t="str">
        <f>IFERROR(VLOOKUP(A159,Lista1[],2,FALSE),"")</f>
        <v/>
      </c>
      <c r="C159" s="1" t="str">
        <f>IF(A159&lt;&gt;"",SUMIF(Lista1[Código],A159,Lista1[Qtd]),"")</f>
        <v/>
      </c>
      <c r="D159" s="1" t="str">
        <f t="shared" si="10"/>
        <v/>
      </c>
      <c r="E159" s="19" t="str">
        <f t="shared" si="11"/>
        <v xml:space="preserve"> </v>
      </c>
      <c r="G159" s="19" t="str">
        <f t="array" ref="G159">IFERROR(IF(ROWS($G$5:G157)&lt;=$G$5,INDEX(Lista2[Código],SMALL(IF(FREQUENCY(IF(Lista2[Código]&lt;&gt;"",
    MATCH("~"&amp;Lista2[Código]&amp;"",Lista2[Código]&amp;"",0)),ROW(Lista2[Código])-ROW(Inicio!$A$9)+1),ROW(Lista2[Código])-ROW(Inicio!$A$9)+1),
      ROWS($G$5:G157))),""),"")</f>
        <v/>
      </c>
      <c r="H159" s="19" t="str">
        <f>IFERROR(VLOOKUP(G159,Lista2[],2,FALSE),"")</f>
        <v/>
      </c>
      <c r="I159" s="1" t="str">
        <f>IF(G159&lt;&gt;"",SUMIF(Lista2[Código],G159,Lista2[Qtd]),"")</f>
        <v/>
      </c>
      <c r="J159" s="1" t="str">
        <f t="shared" si="12"/>
        <v/>
      </c>
      <c r="K159" s="19" t="str">
        <f t="shared" si="13"/>
        <v xml:space="preserve"> </v>
      </c>
    </row>
    <row r="160" spans="1:11" s="19" customFormat="1" x14ac:dyDescent="0.25">
      <c r="A160" s="19" t="str">
        <f t="array" ref="A160">IFERROR(IF(ROWS($A$5:A158)&lt;=$A$5,INDEX(Lista1[Código],SMALL(IF(FREQUENCY(IF(Lista1[Código]&lt;&gt;"",
    MATCH("~"&amp;Lista1[Código]&amp;"",Lista1[Código]&amp;"",0)),ROW(Lista1[Código])-ROW(Inicio!$A$9)+1),ROW(Lista1[Código])-ROW(Inicio!$A$9)+1),
      ROWS($A$5:A158))),""),"")</f>
        <v/>
      </c>
      <c r="B160" s="19" t="str">
        <f>IFERROR(VLOOKUP(A160,Lista1[],2,FALSE),"")</f>
        <v/>
      </c>
      <c r="C160" s="1" t="str">
        <f>IF(A160&lt;&gt;"",SUMIF(Lista1[Código],A160,Lista1[Qtd]),"")</f>
        <v/>
      </c>
      <c r="D160" s="1" t="str">
        <f t="shared" si="10"/>
        <v/>
      </c>
      <c r="E160" s="19" t="str">
        <f t="shared" si="11"/>
        <v xml:space="preserve"> </v>
      </c>
      <c r="G160" s="19" t="str">
        <f t="array" ref="G160">IFERROR(IF(ROWS($G$5:G158)&lt;=$G$5,INDEX(Lista2[Código],SMALL(IF(FREQUENCY(IF(Lista2[Código]&lt;&gt;"",
    MATCH("~"&amp;Lista2[Código]&amp;"",Lista2[Código]&amp;"",0)),ROW(Lista2[Código])-ROW(Inicio!$A$9)+1),ROW(Lista2[Código])-ROW(Inicio!$A$9)+1),
      ROWS($G$5:G158))),""),"")</f>
        <v/>
      </c>
      <c r="H160" s="19" t="str">
        <f>IFERROR(VLOOKUP(G160,Lista2[],2,FALSE),"")</f>
        <v/>
      </c>
      <c r="I160" s="1" t="str">
        <f>IF(G160&lt;&gt;"",SUMIF(Lista2[Código],G160,Lista2[Qtd]),"")</f>
        <v/>
      </c>
      <c r="J160" s="1" t="str">
        <f t="shared" si="12"/>
        <v/>
      </c>
      <c r="K160" s="19" t="str">
        <f t="shared" si="13"/>
        <v xml:space="preserve"> </v>
      </c>
    </row>
    <row r="161" spans="1:11" s="19" customFormat="1" x14ac:dyDescent="0.25">
      <c r="A161" s="19" t="str">
        <f t="array" ref="A161">IFERROR(IF(ROWS($A$5:A159)&lt;=$A$5,INDEX(Lista1[Código],SMALL(IF(FREQUENCY(IF(Lista1[Código]&lt;&gt;"",
    MATCH("~"&amp;Lista1[Código]&amp;"",Lista1[Código]&amp;"",0)),ROW(Lista1[Código])-ROW(Inicio!$A$9)+1),ROW(Lista1[Código])-ROW(Inicio!$A$9)+1),
      ROWS($A$5:A159))),""),"")</f>
        <v/>
      </c>
      <c r="B161" s="19" t="str">
        <f>IFERROR(VLOOKUP(A161,Lista1[],2,FALSE),"")</f>
        <v/>
      </c>
      <c r="C161" s="1" t="str">
        <f>IF(A161&lt;&gt;"",SUMIF(Lista1[Código],A161,Lista1[Qtd]),"")</f>
        <v/>
      </c>
      <c r="D161" s="1" t="str">
        <f t="shared" si="10"/>
        <v/>
      </c>
      <c r="E161" s="19" t="str">
        <f t="shared" si="11"/>
        <v xml:space="preserve"> </v>
      </c>
      <c r="G161" s="19" t="str">
        <f t="array" ref="G161">IFERROR(IF(ROWS($G$5:G159)&lt;=$G$5,INDEX(Lista2[Código],SMALL(IF(FREQUENCY(IF(Lista2[Código]&lt;&gt;"",
    MATCH("~"&amp;Lista2[Código]&amp;"",Lista2[Código]&amp;"",0)),ROW(Lista2[Código])-ROW(Inicio!$A$9)+1),ROW(Lista2[Código])-ROW(Inicio!$A$9)+1),
      ROWS($G$5:G159))),""),"")</f>
        <v/>
      </c>
      <c r="H161" s="19" t="str">
        <f>IFERROR(VLOOKUP(G161,Lista2[],2,FALSE),"")</f>
        <v/>
      </c>
      <c r="I161" s="1" t="str">
        <f>IF(G161&lt;&gt;"",SUMIF(Lista2[Código],G161,Lista2[Qtd]),"")</f>
        <v/>
      </c>
      <c r="J161" s="1" t="str">
        <f t="shared" si="12"/>
        <v/>
      </c>
      <c r="K161" s="19" t="str">
        <f t="shared" si="13"/>
        <v xml:space="preserve"> </v>
      </c>
    </row>
    <row r="162" spans="1:11" s="19" customFormat="1" x14ac:dyDescent="0.25">
      <c r="A162" s="19" t="str">
        <f t="array" ref="A162">IFERROR(IF(ROWS($A$5:A160)&lt;=$A$5,INDEX(Lista1[Código],SMALL(IF(FREQUENCY(IF(Lista1[Código]&lt;&gt;"",
    MATCH("~"&amp;Lista1[Código]&amp;"",Lista1[Código]&amp;"",0)),ROW(Lista1[Código])-ROW(Inicio!$A$9)+1),ROW(Lista1[Código])-ROW(Inicio!$A$9)+1),
      ROWS($A$5:A160))),""),"")</f>
        <v/>
      </c>
      <c r="B162" s="19" t="str">
        <f>IFERROR(VLOOKUP(A162,Lista1[],2,FALSE),"")</f>
        <v/>
      </c>
      <c r="C162" s="1" t="str">
        <f>IF(A162&lt;&gt;"",SUMIF(Lista1[Código],A162,Lista1[Qtd]),"")</f>
        <v/>
      </c>
      <c r="D162" s="1" t="str">
        <f t="shared" si="10"/>
        <v/>
      </c>
      <c r="E162" s="19" t="str">
        <f t="shared" si="11"/>
        <v xml:space="preserve"> </v>
      </c>
      <c r="G162" s="19" t="str">
        <f t="array" ref="G162">IFERROR(IF(ROWS($G$5:G160)&lt;=$G$5,INDEX(Lista2[Código],SMALL(IF(FREQUENCY(IF(Lista2[Código]&lt;&gt;"",
    MATCH("~"&amp;Lista2[Código]&amp;"",Lista2[Código]&amp;"",0)),ROW(Lista2[Código])-ROW(Inicio!$A$9)+1),ROW(Lista2[Código])-ROW(Inicio!$A$9)+1),
      ROWS($G$5:G160))),""),"")</f>
        <v/>
      </c>
      <c r="H162" s="19" t="str">
        <f>IFERROR(VLOOKUP(G162,Lista2[],2,FALSE),"")</f>
        <v/>
      </c>
      <c r="I162" s="1" t="str">
        <f>IF(G162&lt;&gt;"",SUMIF(Lista2[Código],G162,Lista2[Qtd]),"")</f>
        <v/>
      </c>
      <c r="J162" s="1" t="str">
        <f t="shared" si="12"/>
        <v/>
      </c>
      <c r="K162" s="19" t="str">
        <f t="shared" si="13"/>
        <v xml:space="preserve"> </v>
      </c>
    </row>
    <row r="163" spans="1:11" s="19" customFormat="1" x14ac:dyDescent="0.25">
      <c r="A163" s="19" t="str">
        <f t="array" ref="A163">IFERROR(IF(ROWS($A$5:A161)&lt;=$A$5,INDEX(Lista1[Código],SMALL(IF(FREQUENCY(IF(Lista1[Código]&lt;&gt;"",
    MATCH("~"&amp;Lista1[Código]&amp;"",Lista1[Código]&amp;"",0)),ROW(Lista1[Código])-ROW(Inicio!$A$9)+1),ROW(Lista1[Código])-ROW(Inicio!$A$9)+1),
      ROWS($A$5:A161))),""),"")</f>
        <v/>
      </c>
      <c r="B163" s="19" t="str">
        <f>IFERROR(VLOOKUP(A163,Lista1[],2,FALSE),"")</f>
        <v/>
      </c>
      <c r="C163" s="1" t="str">
        <f>IF(A163&lt;&gt;"",SUMIF(Lista1[Código],A163,Lista1[Qtd]),"")</f>
        <v/>
      </c>
      <c r="D163" s="1" t="str">
        <f t="shared" si="10"/>
        <v/>
      </c>
      <c r="E163" s="19" t="str">
        <f t="shared" si="11"/>
        <v xml:space="preserve"> </v>
      </c>
      <c r="G163" s="19" t="str">
        <f t="array" ref="G163">IFERROR(IF(ROWS($G$5:G161)&lt;=$G$5,INDEX(Lista2[Código],SMALL(IF(FREQUENCY(IF(Lista2[Código]&lt;&gt;"",
    MATCH("~"&amp;Lista2[Código]&amp;"",Lista2[Código]&amp;"",0)),ROW(Lista2[Código])-ROW(Inicio!$A$9)+1),ROW(Lista2[Código])-ROW(Inicio!$A$9)+1),
      ROWS($G$5:G161))),""),"")</f>
        <v/>
      </c>
      <c r="H163" s="19" t="str">
        <f>IFERROR(VLOOKUP(G163,Lista2[],2,FALSE),"")</f>
        <v/>
      </c>
      <c r="I163" s="1" t="str">
        <f>IF(G163&lt;&gt;"",SUMIF(Lista2[Código],G163,Lista2[Qtd]),"")</f>
        <v/>
      </c>
      <c r="J163" s="1" t="str">
        <f t="shared" si="12"/>
        <v/>
      </c>
      <c r="K163" s="19" t="str">
        <f t="shared" si="13"/>
        <v xml:space="preserve"> </v>
      </c>
    </row>
    <row r="164" spans="1:11" s="19" customFormat="1" x14ac:dyDescent="0.25">
      <c r="A164" s="19" t="str">
        <f t="array" ref="A164">IFERROR(IF(ROWS($A$5:A162)&lt;=$A$5,INDEX(Lista1[Código],SMALL(IF(FREQUENCY(IF(Lista1[Código]&lt;&gt;"",
    MATCH("~"&amp;Lista1[Código]&amp;"",Lista1[Código]&amp;"",0)),ROW(Lista1[Código])-ROW(Inicio!$A$9)+1),ROW(Lista1[Código])-ROW(Inicio!$A$9)+1),
      ROWS($A$5:A162))),""),"")</f>
        <v/>
      </c>
      <c r="B164" s="19" t="str">
        <f>IFERROR(VLOOKUP(A164,Lista1[],2,FALSE),"")</f>
        <v/>
      </c>
      <c r="C164" s="1" t="str">
        <f>IF(A164&lt;&gt;"",SUMIF(Lista1[Código],A164,Lista1[Qtd]),"")</f>
        <v/>
      </c>
      <c r="D164" s="1" t="str">
        <f t="shared" si="10"/>
        <v/>
      </c>
      <c r="E164" s="19" t="str">
        <f t="shared" si="11"/>
        <v xml:space="preserve"> </v>
      </c>
      <c r="G164" s="19" t="str">
        <f t="array" ref="G164">IFERROR(IF(ROWS($G$5:G162)&lt;=$G$5,INDEX(Lista2[Código],SMALL(IF(FREQUENCY(IF(Lista2[Código]&lt;&gt;"",
    MATCH("~"&amp;Lista2[Código]&amp;"",Lista2[Código]&amp;"",0)),ROW(Lista2[Código])-ROW(Inicio!$A$9)+1),ROW(Lista2[Código])-ROW(Inicio!$A$9)+1),
      ROWS($G$5:G162))),""),"")</f>
        <v/>
      </c>
      <c r="H164" s="19" t="str">
        <f>IFERROR(VLOOKUP(G164,Lista2[],2,FALSE),"")</f>
        <v/>
      </c>
      <c r="I164" s="1" t="str">
        <f>IF(G164&lt;&gt;"",SUMIF(Lista2[Código],G164,Lista2[Qtd]),"")</f>
        <v/>
      </c>
      <c r="J164" s="1" t="str">
        <f t="shared" si="12"/>
        <v/>
      </c>
      <c r="K164" s="19" t="str">
        <f t="shared" si="13"/>
        <v xml:space="preserve"> </v>
      </c>
    </row>
    <row r="165" spans="1:11" s="19" customFormat="1" x14ac:dyDescent="0.25">
      <c r="A165" s="19" t="str">
        <f t="array" ref="A165">IFERROR(IF(ROWS($A$5:A163)&lt;=$A$5,INDEX(Lista1[Código],SMALL(IF(FREQUENCY(IF(Lista1[Código]&lt;&gt;"",
    MATCH("~"&amp;Lista1[Código]&amp;"",Lista1[Código]&amp;"",0)),ROW(Lista1[Código])-ROW(Inicio!$A$9)+1),ROW(Lista1[Código])-ROW(Inicio!$A$9)+1),
      ROWS($A$5:A163))),""),"")</f>
        <v/>
      </c>
      <c r="B165" s="19" t="str">
        <f>IFERROR(VLOOKUP(A165,Lista1[],2,FALSE),"")</f>
        <v/>
      </c>
      <c r="C165" s="1" t="str">
        <f>IF(A165&lt;&gt;"",SUMIF(Lista1[Código],A165,Lista1[Qtd]),"")</f>
        <v/>
      </c>
      <c r="D165" s="1" t="str">
        <f t="shared" si="10"/>
        <v/>
      </c>
      <c r="E165" s="19" t="str">
        <f t="shared" si="11"/>
        <v xml:space="preserve"> </v>
      </c>
      <c r="G165" s="19" t="str">
        <f t="array" ref="G165">IFERROR(IF(ROWS($G$5:G163)&lt;=$G$5,INDEX(Lista2[Código],SMALL(IF(FREQUENCY(IF(Lista2[Código]&lt;&gt;"",
    MATCH("~"&amp;Lista2[Código]&amp;"",Lista2[Código]&amp;"",0)),ROW(Lista2[Código])-ROW(Inicio!$A$9)+1),ROW(Lista2[Código])-ROW(Inicio!$A$9)+1),
      ROWS($G$5:G163))),""),"")</f>
        <v/>
      </c>
      <c r="H165" s="19" t="str">
        <f>IFERROR(VLOOKUP(G165,Lista2[],2,FALSE),"")</f>
        <v/>
      </c>
      <c r="I165" s="1" t="str">
        <f>IF(G165&lt;&gt;"",SUMIF(Lista2[Código],G165,Lista2[Qtd]),"")</f>
        <v/>
      </c>
      <c r="J165" s="1" t="str">
        <f t="shared" si="12"/>
        <v/>
      </c>
      <c r="K165" s="19" t="str">
        <f t="shared" si="13"/>
        <v xml:space="preserve"> </v>
      </c>
    </row>
    <row r="166" spans="1:11" s="19" customFormat="1" x14ac:dyDescent="0.25">
      <c r="A166" s="19" t="str">
        <f t="array" ref="A166">IFERROR(IF(ROWS($A$5:A164)&lt;=$A$5,INDEX(Lista1[Código],SMALL(IF(FREQUENCY(IF(Lista1[Código]&lt;&gt;"",
    MATCH("~"&amp;Lista1[Código]&amp;"",Lista1[Código]&amp;"",0)),ROW(Lista1[Código])-ROW(Inicio!$A$9)+1),ROW(Lista1[Código])-ROW(Inicio!$A$9)+1),
      ROWS($A$5:A164))),""),"")</f>
        <v/>
      </c>
      <c r="B166" s="19" t="str">
        <f>IFERROR(VLOOKUP(A166,Lista1[],2,FALSE),"")</f>
        <v/>
      </c>
      <c r="C166" s="1" t="str">
        <f>IF(A166&lt;&gt;"",SUMIF(Lista1[Código],A166,Lista1[Qtd]),"")</f>
        <v/>
      </c>
      <c r="D166" s="1" t="str">
        <f t="shared" si="10"/>
        <v/>
      </c>
      <c r="E166" s="19" t="str">
        <f t="shared" si="11"/>
        <v xml:space="preserve"> </v>
      </c>
      <c r="G166" s="19" t="str">
        <f t="array" ref="G166">IFERROR(IF(ROWS($G$5:G164)&lt;=$G$5,INDEX(Lista2[Código],SMALL(IF(FREQUENCY(IF(Lista2[Código]&lt;&gt;"",
    MATCH("~"&amp;Lista2[Código]&amp;"",Lista2[Código]&amp;"",0)),ROW(Lista2[Código])-ROW(Inicio!$A$9)+1),ROW(Lista2[Código])-ROW(Inicio!$A$9)+1),
      ROWS($G$5:G164))),""),"")</f>
        <v/>
      </c>
      <c r="H166" s="19" t="str">
        <f>IFERROR(VLOOKUP(G166,Lista2[],2,FALSE),"")</f>
        <v/>
      </c>
      <c r="I166" s="1" t="str">
        <f>IF(G166&lt;&gt;"",SUMIF(Lista2[Código],G166,Lista2[Qtd]),"")</f>
        <v/>
      </c>
      <c r="J166" s="1" t="str">
        <f t="shared" si="12"/>
        <v/>
      </c>
      <c r="K166" s="19" t="str">
        <f t="shared" si="13"/>
        <v xml:space="preserve"> </v>
      </c>
    </row>
    <row r="167" spans="1:11" s="19" customFormat="1" x14ac:dyDescent="0.25">
      <c r="A167" s="19" t="str">
        <f t="array" ref="A167">IFERROR(IF(ROWS($A$5:A165)&lt;=$A$5,INDEX(Lista1[Código],SMALL(IF(FREQUENCY(IF(Lista1[Código]&lt;&gt;"",
    MATCH("~"&amp;Lista1[Código]&amp;"",Lista1[Código]&amp;"",0)),ROW(Lista1[Código])-ROW(Inicio!$A$9)+1),ROW(Lista1[Código])-ROW(Inicio!$A$9)+1),
      ROWS($A$5:A165))),""),"")</f>
        <v/>
      </c>
      <c r="B167" s="19" t="str">
        <f>IFERROR(VLOOKUP(A167,Lista1[],2,FALSE),"")</f>
        <v/>
      </c>
      <c r="C167" s="1" t="str">
        <f>IF(A167&lt;&gt;"",SUMIF(Lista1[Código],A167,Lista1[Qtd]),"")</f>
        <v/>
      </c>
      <c r="D167" s="1" t="str">
        <f t="shared" ref="D167:D200" si="14">IF(A167="","",IFERROR(INDEX($G$7:$I$200,MATCH(A167,$G$7:$G$200,0),3),0))</f>
        <v/>
      </c>
      <c r="E167" s="19" t="str">
        <f t="shared" si="11"/>
        <v xml:space="preserve"> </v>
      </c>
      <c r="G167" s="19" t="str">
        <f t="array" ref="G167">IFERROR(IF(ROWS($G$5:G165)&lt;=$G$5,INDEX(Lista2[Código],SMALL(IF(FREQUENCY(IF(Lista2[Código]&lt;&gt;"",
    MATCH("~"&amp;Lista2[Código]&amp;"",Lista2[Código]&amp;"",0)),ROW(Lista2[Código])-ROW(Inicio!$A$9)+1),ROW(Lista2[Código])-ROW(Inicio!$A$9)+1),
      ROWS($G$5:G165))),""),"")</f>
        <v/>
      </c>
      <c r="H167" s="19" t="str">
        <f>IFERROR(VLOOKUP(G167,Lista2[],2,FALSE),"")</f>
        <v/>
      </c>
      <c r="I167" s="1" t="str">
        <f>IF(G167&lt;&gt;"",SUMIF(Lista2[Código],G167,Lista2[Qtd]),"")</f>
        <v/>
      </c>
      <c r="J167" s="1" t="str">
        <f t="shared" si="12"/>
        <v/>
      </c>
      <c r="K167" s="19" t="str">
        <f t="shared" si="13"/>
        <v xml:space="preserve"> </v>
      </c>
    </row>
    <row r="168" spans="1:11" s="19" customFormat="1" x14ac:dyDescent="0.25">
      <c r="A168" s="19" t="str">
        <f t="array" ref="A168">IFERROR(IF(ROWS($A$5:A166)&lt;=$A$5,INDEX(Lista1[Código],SMALL(IF(FREQUENCY(IF(Lista1[Código]&lt;&gt;"",
    MATCH("~"&amp;Lista1[Código]&amp;"",Lista1[Código]&amp;"",0)),ROW(Lista1[Código])-ROW(Inicio!$A$9)+1),ROW(Lista1[Código])-ROW(Inicio!$A$9)+1),
      ROWS($A$5:A166))),""),"")</f>
        <v/>
      </c>
      <c r="B168" s="19" t="str">
        <f>IFERROR(VLOOKUP(A168,Lista1[],2,FALSE),"")</f>
        <v/>
      </c>
      <c r="C168" s="1" t="str">
        <f>IF(A168&lt;&gt;"",SUMIF(Lista1[Código],A168,Lista1[Qtd]),"")</f>
        <v/>
      </c>
      <c r="D168" s="1" t="str">
        <f t="shared" si="14"/>
        <v/>
      </c>
      <c r="E168" s="19" t="str">
        <f t="shared" si="11"/>
        <v xml:space="preserve"> </v>
      </c>
      <c r="G168" s="19" t="str">
        <f t="array" ref="G168">IFERROR(IF(ROWS($G$5:G166)&lt;=$G$5,INDEX(Lista2[Código],SMALL(IF(FREQUENCY(IF(Lista2[Código]&lt;&gt;"",
    MATCH("~"&amp;Lista2[Código]&amp;"",Lista2[Código]&amp;"",0)),ROW(Lista2[Código])-ROW(Inicio!$A$9)+1),ROW(Lista2[Código])-ROW(Inicio!$A$9)+1),
      ROWS($G$5:G166))),""),"")</f>
        <v/>
      </c>
      <c r="H168" s="19" t="str">
        <f>IFERROR(VLOOKUP(G168,Lista2[],2,FALSE),"")</f>
        <v/>
      </c>
      <c r="I168" s="1" t="str">
        <f>IF(G168&lt;&gt;"",SUMIF(Lista2[Código],G168,Lista2[Qtd]),"")</f>
        <v/>
      </c>
      <c r="J168" s="1" t="str">
        <f t="shared" si="12"/>
        <v/>
      </c>
      <c r="K168" s="19" t="str">
        <f t="shared" si="13"/>
        <v xml:space="preserve"> </v>
      </c>
    </row>
    <row r="169" spans="1:11" s="19" customFormat="1" x14ac:dyDescent="0.25">
      <c r="A169" s="19" t="str">
        <f t="array" ref="A169">IFERROR(IF(ROWS($A$5:A167)&lt;=$A$5,INDEX(Lista1[Código],SMALL(IF(FREQUENCY(IF(Lista1[Código]&lt;&gt;"",
    MATCH("~"&amp;Lista1[Código]&amp;"",Lista1[Código]&amp;"",0)),ROW(Lista1[Código])-ROW(Inicio!$A$9)+1),ROW(Lista1[Código])-ROW(Inicio!$A$9)+1),
      ROWS($A$5:A167))),""),"")</f>
        <v/>
      </c>
      <c r="B169" s="19" t="str">
        <f>IFERROR(VLOOKUP(A169,Lista1[],2,FALSE),"")</f>
        <v/>
      </c>
      <c r="C169" s="1" t="str">
        <f>IF(A169&lt;&gt;"",SUMIF(Lista1[Código],A169,Lista1[Qtd]),"")</f>
        <v/>
      </c>
      <c r="D169" s="1" t="str">
        <f t="shared" si="14"/>
        <v/>
      </c>
      <c r="E169" s="19" t="str">
        <f t="shared" si="11"/>
        <v xml:space="preserve"> </v>
      </c>
      <c r="G169" s="19" t="str">
        <f t="array" ref="G169">IFERROR(IF(ROWS($G$5:G167)&lt;=$G$5,INDEX(Lista2[Código],SMALL(IF(FREQUENCY(IF(Lista2[Código]&lt;&gt;"",
    MATCH("~"&amp;Lista2[Código]&amp;"",Lista2[Código]&amp;"",0)),ROW(Lista2[Código])-ROW(Inicio!$A$9)+1),ROW(Lista2[Código])-ROW(Inicio!$A$9)+1),
      ROWS($G$5:G167))),""),"")</f>
        <v/>
      </c>
      <c r="H169" s="19" t="str">
        <f>IFERROR(VLOOKUP(G169,Lista2[],2,FALSE),"")</f>
        <v/>
      </c>
      <c r="I169" s="1" t="str">
        <f>IF(G169&lt;&gt;"",SUMIF(Lista2[Código],G169,Lista2[Qtd]),"")</f>
        <v/>
      </c>
      <c r="J169" s="1" t="str">
        <f t="shared" si="12"/>
        <v/>
      </c>
      <c r="K169" s="19" t="str">
        <f t="shared" si="13"/>
        <v xml:space="preserve"> </v>
      </c>
    </row>
    <row r="170" spans="1:11" s="19" customFormat="1" x14ac:dyDescent="0.25">
      <c r="A170" s="19" t="str">
        <f t="array" ref="A170">IFERROR(IF(ROWS($A$5:A168)&lt;=$A$5,INDEX(Lista1[Código],SMALL(IF(FREQUENCY(IF(Lista1[Código]&lt;&gt;"",
    MATCH("~"&amp;Lista1[Código]&amp;"",Lista1[Código]&amp;"",0)),ROW(Lista1[Código])-ROW(Inicio!$A$9)+1),ROW(Lista1[Código])-ROW(Inicio!$A$9)+1),
      ROWS($A$5:A168))),""),"")</f>
        <v/>
      </c>
      <c r="B170" s="19" t="str">
        <f>IFERROR(VLOOKUP(A170,Lista1[],2,FALSE),"")</f>
        <v/>
      </c>
      <c r="C170" s="1" t="str">
        <f>IF(A170&lt;&gt;"",SUMIF(Lista1[Código],A170,Lista1[Qtd]),"")</f>
        <v/>
      </c>
      <c r="D170" s="1" t="str">
        <f t="shared" si="14"/>
        <v/>
      </c>
      <c r="E170" s="19" t="str">
        <f t="shared" si="11"/>
        <v xml:space="preserve"> </v>
      </c>
      <c r="G170" s="19" t="str">
        <f t="array" ref="G170">IFERROR(IF(ROWS($G$5:G168)&lt;=$G$5,INDEX(Lista2[Código],SMALL(IF(FREQUENCY(IF(Lista2[Código]&lt;&gt;"",
    MATCH("~"&amp;Lista2[Código]&amp;"",Lista2[Código]&amp;"",0)),ROW(Lista2[Código])-ROW(Inicio!$A$9)+1),ROW(Lista2[Código])-ROW(Inicio!$A$9)+1),
      ROWS($G$5:G168))),""),"")</f>
        <v/>
      </c>
      <c r="H170" s="19" t="str">
        <f>IFERROR(VLOOKUP(G170,Lista2[],2,FALSE),"")</f>
        <v/>
      </c>
      <c r="I170" s="1" t="str">
        <f>IF(G170&lt;&gt;"",SUMIF(Lista2[Código],G170,Lista2[Qtd]),"")</f>
        <v/>
      </c>
      <c r="J170" s="1" t="str">
        <f t="shared" si="12"/>
        <v/>
      </c>
      <c r="K170" s="19" t="str">
        <f t="shared" si="13"/>
        <v xml:space="preserve"> </v>
      </c>
    </row>
    <row r="171" spans="1:11" s="19" customFormat="1" x14ac:dyDescent="0.25">
      <c r="A171" s="19" t="str">
        <f t="array" ref="A171">IFERROR(IF(ROWS($A$5:A169)&lt;=$A$5,INDEX(Lista1[Código],SMALL(IF(FREQUENCY(IF(Lista1[Código]&lt;&gt;"",
    MATCH("~"&amp;Lista1[Código]&amp;"",Lista1[Código]&amp;"",0)),ROW(Lista1[Código])-ROW(Inicio!$A$9)+1),ROW(Lista1[Código])-ROW(Inicio!$A$9)+1),
      ROWS($A$5:A169))),""),"")</f>
        <v/>
      </c>
      <c r="B171" s="19" t="str">
        <f>IFERROR(VLOOKUP(A171,Lista1[],2,FALSE),"")</f>
        <v/>
      </c>
      <c r="C171" s="1" t="str">
        <f>IF(A171&lt;&gt;"",SUMIF(Lista1[Código],A171,Lista1[Qtd]),"")</f>
        <v/>
      </c>
      <c r="D171" s="1" t="str">
        <f t="shared" si="14"/>
        <v/>
      </c>
      <c r="E171" s="19" t="str">
        <f t="shared" si="11"/>
        <v xml:space="preserve"> </v>
      </c>
      <c r="G171" s="19" t="str">
        <f t="array" ref="G171">IFERROR(IF(ROWS($G$5:G169)&lt;=$G$5,INDEX(Lista2[Código],SMALL(IF(FREQUENCY(IF(Lista2[Código]&lt;&gt;"",
    MATCH("~"&amp;Lista2[Código]&amp;"",Lista2[Código]&amp;"",0)),ROW(Lista2[Código])-ROW(Inicio!$A$9)+1),ROW(Lista2[Código])-ROW(Inicio!$A$9)+1),
      ROWS($G$5:G169))),""),"")</f>
        <v/>
      </c>
      <c r="H171" s="19" t="str">
        <f>IFERROR(VLOOKUP(G171,Lista2[],2,FALSE),"")</f>
        <v/>
      </c>
      <c r="I171" s="1" t="str">
        <f>IF(G171&lt;&gt;"",SUMIF(Lista2[Código],G171,Lista2[Qtd]),"")</f>
        <v/>
      </c>
      <c r="J171" s="1" t="str">
        <f t="shared" si="12"/>
        <v/>
      </c>
      <c r="K171" s="19" t="str">
        <f t="shared" si="13"/>
        <v xml:space="preserve"> </v>
      </c>
    </row>
    <row r="172" spans="1:11" s="19" customFormat="1" x14ac:dyDescent="0.25">
      <c r="A172" s="19" t="str">
        <f t="array" ref="A172">IFERROR(IF(ROWS($A$5:A170)&lt;=$A$5,INDEX(Lista1[Código],SMALL(IF(FREQUENCY(IF(Lista1[Código]&lt;&gt;"",
    MATCH("~"&amp;Lista1[Código]&amp;"",Lista1[Código]&amp;"",0)),ROW(Lista1[Código])-ROW(Inicio!$A$9)+1),ROW(Lista1[Código])-ROW(Inicio!$A$9)+1),
      ROWS($A$5:A170))),""),"")</f>
        <v/>
      </c>
      <c r="B172" s="19" t="str">
        <f>IFERROR(VLOOKUP(A172,Lista1[],2,FALSE),"")</f>
        <v/>
      </c>
      <c r="C172" s="1" t="str">
        <f>IF(A172&lt;&gt;"",SUMIF(Lista1[Código],A172,Lista1[Qtd]),"")</f>
        <v/>
      </c>
      <c r="D172" s="1" t="str">
        <f t="shared" si="14"/>
        <v/>
      </c>
      <c r="E172" s="19" t="str">
        <f t="shared" si="11"/>
        <v xml:space="preserve"> </v>
      </c>
      <c r="G172" s="19" t="str">
        <f t="array" ref="G172">IFERROR(IF(ROWS($G$5:G170)&lt;=$G$5,INDEX(Lista2[Código],SMALL(IF(FREQUENCY(IF(Lista2[Código]&lt;&gt;"",
    MATCH("~"&amp;Lista2[Código]&amp;"",Lista2[Código]&amp;"",0)),ROW(Lista2[Código])-ROW(Inicio!$A$9)+1),ROW(Lista2[Código])-ROW(Inicio!$A$9)+1),
      ROWS($G$5:G170))),""),"")</f>
        <v/>
      </c>
      <c r="H172" s="19" t="str">
        <f>IFERROR(VLOOKUP(G172,Lista2[],2,FALSE),"")</f>
        <v/>
      </c>
      <c r="I172" s="1" t="str">
        <f>IF(G172&lt;&gt;"",SUMIF(Lista2[Código],G172,Lista2[Qtd]),"")</f>
        <v/>
      </c>
      <c r="J172" s="1" t="str">
        <f t="shared" si="12"/>
        <v/>
      </c>
      <c r="K172" s="19" t="str">
        <f t="shared" si="13"/>
        <v xml:space="preserve"> </v>
      </c>
    </row>
    <row r="173" spans="1:11" s="19" customFormat="1" x14ac:dyDescent="0.25">
      <c r="A173" s="19" t="str">
        <f t="array" ref="A173">IFERROR(IF(ROWS($A$5:A171)&lt;=$A$5,INDEX(Lista1[Código],SMALL(IF(FREQUENCY(IF(Lista1[Código]&lt;&gt;"",
    MATCH("~"&amp;Lista1[Código]&amp;"",Lista1[Código]&amp;"",0)),ROW(Lista1[Código])-ROW(Inicio!$A$9)+1),ROW(Lista1[Código])-ROW(Inicio!$A$9)+1),
      ROWS($A$5:A171))),""),"")</f>
        <v/>
      </c>
      <c r="B173" s="19" t="str">
        <f>IFERROR(VLOOKUP(A173,Lista1[],2,FALSE),"")</f>
        <v/>
      </c>
      <c r="C173" s="1" t="str">
        <f>IF(A173&lt;&gt;"",SUMIF(Lista1[Código],A173,Lista1[Qtd]),"")</f>
        <v/>
      </c>
      <c r="D173" s="1" t="str">
        <f t="shared" si="14"/>
        <v/>
      </c>
      <c r="E173" s="19" t="str">
        <f t="shared" si="11"/>
        <v xml:space="preserve"> </v>
      </c>
      <c r="G173" s="19" t="str">
        <f t="array" ref="G173">IFERROR(IF(ROWS($G$5:G171)&lt;=$G$5,INDEX(Lista2[Código],SMALL(IF(FREQUENCY(IF(Lista2[Código]&lt;&gt;"",
    MATCH("~"&amp;Lista2[Código]&amp;"",Lista2[Código]&amp;"",0)),ROW(Lista2[Código])-ROW(Inicio!$A$9)+1),ROW(Lista2[Código])-ROW(Inicio!$A$9)+1),
      ROWS($G$5:G171))),""),"")</f>
        <v/>
      </c>
      <c r="H173" s="19" t="str">
        <f>IFERROR(VLOOKUP(G173,Lista2[],2,FALSE),"")</f>
        <v/>
      </c>
      <c r="I173" s="1" t="str">
        <f>IF(G173&lt;&gt;"",SUMIF(Lista2[Código],G173,Lista2[Qtd]),"")</f>
        <v/>
      </c>
      <c r="J173" s="1" t="str">
        <f t="shared" si="12"/>
        <v/>
      </c>
      <c r="K173" s="19" t="str">
        <f t="shared" si="13"/>
        <v xml:space="preserve"> </v>
      </c>
    </row>
    <row r="174" spans="1:11" s="19" customFormat="1" x14ac:dyDescent="0.25">
      <c r="A174" s="19" t="str">
        <f t="array" ref="A174">IFERROR(IF(ROWS($A$5:A172)&lt;=$A$5,INDEX(Lista1[Código],SMALL(IF(FREQUENCY(IF(Lista1[Código]&lt;&gt;"",
    MATCH("~"&amp;Lista1[Código]&amp;"",Lista1[Código]&amp;"",0)),ROW(Lista1[Código])-ROW(Inicio!$A$9)+1),ROW(Lista1[Código])-ROW(Inicio!$A$9)+1),
      ROWS($A$5:A172))),""),"")</f>
        <v/>
      </c>
      <c r="B174" s="19" t="str">
        <f>IFERROR(VLOOKUP(A174,Lista1[],2,FALSE),"")</f>
        <v/>
      </c>
      <c r="C174" s="1" t="str">
        <f>IF(A174&lt;&gt;"",SUMIF(Lista1[Código],A174,Lista1[Qtd]),"")</f>
        <v/>
      </c>
      <c r="D174" s="1" t="str">
        <f t="shared" si="14"/>
        <v/>
      </c>
      <c r="E174" s="19" t="str">
        <f t="shared" si="11"/>
        <v xml:space="preserve"> </v>
      </c>
      <c r="G174" s="19" t="str">
        <f t="array" ref="G174">IFERROR(IF(ROWS($G$5:G172)&lt;=$G$5,INDEX(Lista2[Código],SMALL(IF(FREQUENCY(IF(Lista2[Código]&lt;&gt;"",
    MATCH("~"&amp;Lista2[Código]&amp;"",Lista2[Código]&amp;"",0)),ROW(Lista2[Código])-ROW(Inicio!$A$9)+1),ROW(Lista2[Código])-ROW(Inicio!$A$9)+1),
      ROWS($G$5:G172))),""),"")</f>
        <v/>
      </c>
      <c r="H174" s="19" t="str">
        <f>IFERROR(VLOOKUP(G174,Lista2[],2,FALSE),"")</f>
        <v/>
      </c>
      <c r="I174" s="1" t="str">
        <f>IF(G174&lt;&gt;"",SUMIF(Lista2[Código],G174,Lista2[Qtd]),"")</f>
        <v/>
      </c>
      <c r="J174" s="1" t="str">
        <f t="shared" si="12"/>
        <v/>
      </c>
      <c r="K174" s="19" t="str">
        <f t="shared" si="13"/>
        <v xml:space="preserve"> </v>
      </c>
    </row>
    <row r="175" spans="1:11" s="19" customFormat="1" x14ac:dyDescent="0.25">
      <c r="A175" s="19" t="str">
        <f t="array" ref="A175">IFERROR(IF(ROWS($A$5:A173)&lt;=$A$5,INDEX(Lista1[Código],SMALL(IF(FREQUENCY(IF(Lista1[Código]&lt;&gt;"",
    MATCH("~"&amp;Lista1[Código]&amp;"",Lista1[Código]&amp;"",0)),ROW(Lista1[Código])-ROW(Inicio!$A$9)+1),ROW(Lista1[Código])-ROW(Inicio!$A$9)+1),
      ROWS($A$5:A173))),""),"")</f>
        <v/>
      </c>
      <c r="B175" s="19" t="str">
        <f>IFERROR(VLOOKUP(A175,Lista1[],2,FALSE),"")</f>
        <v/>
      </c>
      <c r="C175" s="1" t="str">
        <f>IF(A175&lt;&gt;"",SUMIF(Lista1[Código],A175,Lista1[Qtd]),"")</f>
        <v/>
      </c>
      <c r="D175" s="1" t="str">
        <f t="shared" si="14"/>
        <v/>
      </c>
      <c r="E175" s="19" t="str">
        <f t="shared" si="11"/>
        <v xml:space="preserve"> </v>
      </c>
      <c r="G175" s="19" t="str">
        <f t="array" ref="G175">IFERROR(IF(ROWS($G$5:G173)&lt;=$G$5,INDEX(Lista2[Código],SMALL(IF(FREQUENCY(IF(Lista2[Código]&lt;&gt;"",
    MATCH("~"&amp;Lista2[Código]&amp;"",Lista2[Código]&amp;"",0)),ROW(Lista2[Código])-ROW(Inicio!$A$9)+1),ROW(Lista2[Código])-ROW(Inicio!$A$9)+1),
      ROWS($G$5:G173))),""),"")</f>
        <v/>
      </c>
      <c r="H175" s="19" t="str">
        <f>IFERROR(VLOOKUP(G175,Lista2[],2,FALSE),"")</f>
        <v/>
      </c>
      <c r="I175" s="1" t="str">
        <f>IF(G175&lt;&gt;"",SUMIF(Lista2[Código],G175,Lista2[Qtd]),"")</f>
        <v/>
      </c>
      <c r="J175" s="1" t="str">
        <f t="shared" si="12"/>
        <v/>
      </c>
      <c r="K175" s="19" t="str">
        <f t="shared" si="13"/>
        <v xml:space="preserve"> </v>
      </c>
    </row>
    <row r="176" spans="1:11" s="19" customFormat="1" x14ac:dyDescent="0.25">
      <c r="A176" s="19" t="str">
        <f t="array" ref="A176">IFERROR(IF(ROWS($A$5:A174)&lt;=$A$5,INDEX(Lista1[Código],SMALL(IF(FREQUENCY(IF(Lista1[Código]&lt;&gt;"",
    MATCH("~"&amp;Lista1[Código]&amp;"",Lista1[Código]&amp;"",0)),ROW(Lista1[Código])-ROW(Inicio!$A$9)+1),ROW(Lista1[Código])-ROW(Inicio!$A$9)+1),
      ROWS($A$5:A174))),""),"")</f>
        <v/>
      </c>
      <c r="B176" s="19" t="str">
        <f>IFERROR(VLOOKUP(A176,Lista1[],2,FALSE),"")</f>
        <v/>
      </c>
      <c r="C176" s="1" t="str">
        <f>IF(A176&lt;&gt;"",SUMIF(Lista1[Código],A176,Lista1[Qtd]),"")</f>
        <v/>
      </c>
      <c r="D176" s="1" t="str">
        <f t="shared" si="14"/>
        <v/>
      </c>
      <c r="E176" s="19" t="str">
        <f t="shared" si="11"/>
        <v xml:space="preserve"> </v>
      </c>
      <c r="G176" s="19" t="str">
        <f t="array" ref="G176">IFERROR(IF(ROWS($G$5:G174)&lt;=$G$5,INDEX(Lista2[Código],SMALL(IF(FREQUENCY(IF(Lista2[Código]&lt;&gt;"",
    MATCH("~"&amp;Lista2[Código]&amp;"",Lista2[Código]&amp;"",0)),ROW(Lista2[Código])-ROW(Inicio!$A$9)+1),ROW(Lista2[Código])-ROW(Inicio!$A$9)+1),
      ROWS($G$5:G174))),""),"")</f>
        <v/>
      </c>
      <c r="H176" s="19" t="str">
        <f>IFERROR(VLOOKUP(G176,Lista2[],2,FALSE),"")</f>
        <v/>
      </c>
      <c r="I176" s="1" t="str">
        <f>IF(G176&lt;&gt;"",SUMIF(Lista2[Código],G176,Lista2[Qtd]),"")</f>
        <v/>
      </c>
      <c r="J176" s="1" t="str">
        <f t="shared" si="12"/>
        <v/>
      </c>
      <c r="K176" s="19" t="str">
        <f t="shared" si="13"/>
        <v xml:space="preserve"> </v>
      </c>
    </row>
    <row r="177" spans="1:11" s="19" customFormat="1" x14ac:dyDescent="0.25">
      <c r="A177" s="19" t="str">
        <f t="array" ref="A177">IFERROR(IF(ROWS($A$5:A175)&lt;=$A$5,INDEX(Lista1[Código],SMALL(IF(FREQUENCY(IF(Lista1[Código]&lt;&gt;"",
    MATCH("~"&amp;Lista1[Código]&amp;"",Lista1[Código]&amp;"",0)),ROW(Lista1[Código])-ROW(Inicio!$A$9)+1),ROW(Lista1[Código])-ROW(Inicio!$A$9)+1),
      ROWS($A$5:A175))),""),"")</f>
        <v/>
      </c>
      <c r="B177" s="19" t="str">
        <f>IFERROR(VLOOKUP(A177,Lista1[],2,FALSE),"")</f>
        <v/>
      </c>
      <c r="C177" s="1" t="str">
        <f>IF(A177&lt;&gt;"",SUMIF(Lista1[Código],A177,Lista1[Qtd]),"")</f>
        <v/>
      </c>
      <c r="D177" s="1" t="str">
        <f t="shared" si="14"/>
        <v/>
      </c>
      <c r="E177" s="19" t="str">
        <f t="shared" si="11"/>
        <v xml:space="preserve"> </v>
      </c>
      <c r="G177" s="19" t="str">
        <f t="array" ref="G177">IFERROR(IF(ROWS($G$5:G175)&lt;=$G$5,INDEX(Lista2[Código],SMALL(IF(FREQUENCY(IF(Lista2[Código]&lt;&gt;"",
    MATCH("~"&amp;Lista2[Código]&amp;"",Lista2[Código]&amp;"",0)),ROW(Lista2[Código])-ROW(Inicio!$A$9)+1),ROW(Lista2[Código])-ROW(Inicio!$A$9)+1),
      ROWS($G$5:G175))),""),"")</f>
        <v/>
      </c>
      <c r="H177" s="19" t="str">
        <f>IFERROR(VLOOKUP(G177,Lista2[],2,FALSE),"")</f>
        <v/>
      </c>
      <c r="I177" s="1" t="str">
        <f>IF(G177&lt;&gt;"",SUMIF(Lista2[Código],G177,Lista2[Qtd]),"")</f>
        <v/>
      </c>
      <c r="J177" s="1" t="str">
        <f t="shared" si="12"/>
        <v/>
      </c>
      <c r="K177" s="19" t="str">
        <f t="shared" si="13"/>
        <v xml:space="preserve"> </v>
      </c>
    </row>
    <row r="178" spans="1:11" s="19" customFormat="1" x14ac:dyDescent="0.25">
      <c r="A178" s="19" t="str">
        <f t="array" ref="A178">IFERROR(IF(ROWS($A$5:A176)&lt;=$A$5,INDEX(Lista1[Código],SMALL(IF(FREQUENCY(IF(Lista1[Código]&lt;&gt;"",
    MATCH("~"&amp;Lista1[Código]&amp;"",Lista1[Código]&amp;"",0)),ROW(Lista1[Código])-ROW(Inicio!$A$9)+1),ROW(Lista1[Código])-ROW(Inicio!$A$9)+1),
      ROWS($A$5:A176))),""),"")</f>
        <v/>
      </c>
      <c r="B178" s="19" t="str">
        <f>IFERROR(VLOOKUP(A178,Lista1[],2,FALSE),"")</f>
        <v/>
      </c>
      <c r="C178" s="1" t="str">
        <f>IF(A178&lt;&gt;"",SUMIF(Lista1[Código],A178,Lista1[Qtd]),"")</f>
        <v/>
      </c>
      <c r="D178" s="1" t="str">
        <f t="shared" si="14"/>
        <v/>
      </c>
      <c r="E178" s="19" t="str">
        <f t="shared" si="11"/>
        <v xml:space="preserve"> </v>
      </c>
      <c r="G178" s="19" t="str">
        <f t="array" ref="G178">IFERROR(IF(ROWS($G$5:G176)&lt;=$G$5,INDEX(Lista2[Código],SMALL(IF(FREQUENCY(IF(Lista2[Código]&lt;&gt;"",
    MATCH("~"&amp;Lista2[Código]&amp;"",Lista2[Código]&amp;"",0)),ROW(Lista2[Código])-ROW(Inicio!$A$9)+1),ROW(Lista2[Código])-ROW(Inicio!$A$9)+1),
      ROWS($G$5:G176))),""),"")</f>
        <v/>
      </c>
      <c r="H178" s="19" t="str">
        <f>IFERROR(VLOOKUP(G178,Lista2[],2,FALSE),"")</f>
        <v/>
      </c>
      <c r="I178" s="1" t="str">
        <f>IF(G178&lt;&gt;"",SUMIF(Lista2[Código],G178,Lista2[Qtd]),"")</f>
        <v/>
      </c>
      <c r="J178" s="1" t="str">
        <f t="shared" si="12"/>
        <v/>
      </c>
      <c r="K178" s="19" t="str">
        <f t="shared" si="13"/>
        <v xml:space="preserve"> </v>
      </c>
    </row>
    <row r="179" spans="1:11" s="19" customFormat="1" x14ac:dyDescent="0.25">
      <c r="A179" s="19" t="str">
        <f t="array" ref="A179">IFERROR(IF(ROWS($A$5:A177)&lt;=$A$5,INDEX(Lista1[Código],SMALL(IF(FREQUENCY(IF(Lista1[Código]&lt;&gt;"",
    MATCH("~"&amp;Lista1[Código]&amp;"",Lista1[Código]&amp;"",0)),ROW(Lista1[Código])-ROW(Inicio!$A$9)+1),ROW(Lista1[Código])-ROW(Inicio!$A$9)+1),
      ROWS($A$5:A177))),""),"")</f>
        <v/>
      </c>
      <c r="B179" s="19" t="str">
        <f>IFERROR(VLOOKUP(A179,Lista1[],2,FALSE),"")</f>
        <v/>
      </c>
      <c r="C179" s="1" t="str">
        <f>IF(A179&lt;&gt;"",SUMIF(Lista1[Código],A179,Lista1[Qtd]),"")</f>
        <v/>
      </c>
      <c r="D179" s="1" t="str">
        <f t="shared" si="14"/>
        <v/>
      </c>
      <c r="E179" s="19" t="str">
        <f t="shared" si="11"/>
        <v xml:space="preserve"> </v>
      </c>
      <c r="G179" s="19" t="str">
        <f t="array" ref="G179">IFERROR(IF(ROWS($G$5:G177)&lt;=$G$5,INDEX(Lista2[Código],SMALL(IF(FREQUENCY(IF(Lista2[Código]&lt;&gt;"",
    MATCH("~"&amp;Lista2[Código]&amp;"",Lista2[Código]&amp;"",0)),ROW(Lista2[Código])-ROW(Inicio!$A$9)+1),ROW(Lista2[Código])-ROW(Inicio!$A$9)+1),
      ROWS($G$5:G177))),""),"")</f>
        <v/>
      </c>
      <c r="H179" s="19" t="str">
        <f>IFERROR(VLOOKUP(G179,Lista2[],2,FALSE),"")</f>
        <v/>
      </c>
      <c r="I179" s="1" t="str">
        <f>IF(G179&lt;&gt;"",SUMIF(Lista2[Código],G179,Lista2[Qtd]),"")</f>
        <v/>
      </c>
      <c r="J179" s="1" t="str">
        <f t="shared" si="12"/>
        <v/>
      </c>
      <c r="K179" s="19" t="str">
        <f t="shared" si="13"/>
        <v xml:space="preserve"> </v>
      </c>
    </row>
    <row r="180" spans="1:11" s="19" customFormat="1" x14ac:dyDescent="0.25">
      <c r="A180" s="19" t="str">
        <f t="array" ref="A180">IFERROR(IF(ROWS($A$5:A178)&lt;=$A$5,INDEX(Lista1[Código],SMALL(IF(FREQUENCY(IF(Lista1[Código]&lt;&gt;"",
    MATCH("~"&amp;Lista1[Código]&amp;"",Lista1[Código]&amp;"",0)),ROW(Lista1[Código])-ROW(Inicio!$A$9)+1),ROW(Lista1[Código])-ROW(Inicio!$A$9)+1),
      ROWS($A$5:A178))),""),"")</f>
        <v/>
      </c>
      <c r="B180" s="19" t="str">
        <f>IFERROR(VLOOKUP(A180,Lista1[],2,FALSE),"")</f>
        <v/>
      </c>
      <c r="C180" s="1" t="str">
        <f>IF(A180&lt;&gt;"",SUMIF(Lista1[Código],A180,Lista1[Qtd]),"")</f>
        <v/>
      </c>
      <c r="D180" s="1" t="str">
        <f t="shared" si="14"/>
        <v/>
      </c>
      <c r="E180" s="19" t="str">
        <f t="shared" si="11"/>
        <v xml:space="preserve"> </v>
      </c>
      <c r="G180" s="19" t="str">
        <f t="array" ref="G180">IFERROR(IF(ROWS($G$5:G178)&lt;=$G$5,INDEX(Lista2[Código],SMALL(IF(FREQUENCY(IF(Lista2[Código]&lt;&gt;"",
    MATCH("~"&amp;Lista2[Código]&amp;"",Lista2[Código]&amp;"",0)),ROW(Lista2[Código])-ROW(Inicio!$A$9)+1),ROW(Lista2[Código])-ROW(Inicio!$A$9)+1),
      ROWS($G$5:G178))),""),"")</f>
        <v/>
      </c>
      <c r="H180" s="19" t="str">
        <f>IFERROR(VLOOKUP(G180,Lista2[],2,FALSE),"")</f>
        <v/>
      </c>
      <c r="I180" s="1" t="str">
        <f>IF(G180&lt;&gt;"",SUMIF(Lista2[Código],G180,Lista2[Qtd]),"")</f>
        <v/>
      </c>
      <c r="J180" s="1" t="str">
        <f t="shared" si="12"/>
        <v/>
      </c>
      <c r="K180" s="19" t="str">
        <f t="shared" si="13"/>
        <v xml:space="preserve"> </v>
      </c>
    </row>
    <row r="181" spans="1:11" s="19" customFormat="1" x14ac:dyDescent="0.25">
      <c r="A181" s="19" t="str">
        <f t="array" ref="A181">IFERROR(IF(ROWS($A$5:A179)&lt;=$A$5,INDEX(Lista1[Código],SMALL(IF(FREQUENCY(IF(Lista1[Código]&lt;&gt;"",
    MATCH("~"&amp;Lista1[Código]&amp;"",Lista1[Código]&amp;"",0)),ROW(Lista1[Código])-ROW(Inicio!$A$9)+1),ROW(Lista1[Código])-ROW(Inicio!$A$9)+1),
      ROWS($A$5:A179))),""),"")</f>
        <v/>
      </c>
      <c r="B181" s="19" t="str">
        <f>IFERROR(VLOOKUP(A181,Lista1[],2,FALSE),"")</f>
        <v/>
      </c>
      <c r="C181" s="1" t="str">
        <f>IF(A181&lt;&gt;"",SUMIF(Lista1[Código],A181,Lista1[Qtd]),"")</f>
        <v/>
      </c>
      <c r="D181" s="1" t="str">
        <f t="shared" si="14"/>
        <v/>
      </c>
      <c r="E181" s="19" t="str">
        <f t="shared" si="11"/>
        <v xml:space="preserve"> </v>
      </c>
      <c r="G181" s="19" t="str">
        <f t="array" ref="G181">IFERROR(IF(ROWS($G$5:G179)&lt;=$G$5,INDEX(Lista2[Código],SMALL(IF(FREQUENCY(IF(Lista2[Código]&lt;&gt;"",
    MATCH("~"&amp;Lista2[Código]&amp;"",Lista2[Código]&amp;"",0)),ROW(Lista2[Código])-ROW(Inicio!$A$9)+1),ROW(Lista2[Código])-ROW(Inicio!$A$9)+1),
      ROWS($G$5:G179))),""),"")</f>
        <v/>
      </c>
      <c r="H181" s="19" t="str">
        <f>IFERROR(VLOOKUP(G181,Lista2[],2,FALSE),"")</f>
        <v/>
      </c>
      <c r="I181" s="1" t="str">
        <f>IF(G181&lt;&gt;"",SUMIF(Lista2[Código],G181,Lista2[Qtd]),"")</f>
        <v/>
      </c>
      <c r="J181" s="1" t="str">
        <f t="shared" si="12"/>
        <v/>
      </c>
      <c r="K181" s="19" t="str">
        <f t="shared" si="13"/>
        <v xml:space="preserve"> </v>
      </c>
    </row>
    <row r="182" spans="1:11" s="19" customFormat="1" x14ac:dyDescent="0.25">
      <c r="A182" s="19" t="str">
        <f t="array" ref="A182">IFERROR(IF(ROWS($A$5:A180)&lt;=$A$5,INDEX(Lista1[Código],SMALL(IF(FREQUENCY(IF(Lista1[Código]&lt;&gt;"",
    MATCH("~"&amp;Lista1[Código]&amp;"",Lista1[Código]&amp;"",0)),ROW(Lista1[Código])-ROW(Inicio!$A$9)+1),ROW(Lista1[Código])-ROW(Inicio!$A$9)+1),
      ROWS($A$5:A180))),""),"")</f>
        <v/>
      </c>
      <c r="B182" s="19" t="str">
        <f>IFERROR(VLOOKUP(A182,Lista1[],2,FALSE),"")</f>
        <v/>
      </c>
      <c r="C182" s="1" t="str">
        <f>IF(A182&lt;&gt;"",SUMIF(Lista1[Código],A182,Lista1[Qtd]),"")</f>
        <v/>
      </c>
      <c r="D182" s="1" t="str">
        <f t="shared" si="14"/>
        <v/>
      </c>
      <c r="E182" s="19" t="str">
        <f t="shared" si="11"/>
        <v xml:space="preserve"> </v>
      </c>
      <c r="G182" s="19" t="str">
        <f t="array" ref="G182">IFERROR(IF(ROWS($G$5:G180)&lt;=$G$5,INDEX(Lista2[Código],SMALL(IF(FREQUENCY(IF(Lista2[Código]&lt;&gt;"",
    MATCH("~"&amp;Lista2[Código]&amp;"",Lista2[Código]&amp;"",0)),ROW(Lista2[Código])-ROW(Inicio!$A$9)+1),ROW(Lista2[Código])-ROW(Inicio!$A$9)+1),
      ROWS($G$5:G180))),""),"")</f>
        <v/>
      </c>
      <c r="H182" s="19" t="str">
        <f>IFERROR(VLOOKUP(G182,Lista2[],2,FALSE),"")</f>
        <v/>
      </c>
      <c r="I182" s="1" t="str">
        <f>IF(G182&lt;&gt;"",SUMIF(Lista2[Código],G182,Lista2[Qtd]),"")</f>
        <v/>
      </c>
      <c r="J182" s="1" t="str">
        <f t="shared" si="12"/>
        <v/>
      </c>
      <c r="K182" s="19" t="str">
        <f t="shared" si="13"/>
        <v xml:space="preserve"> </v>
      </c>
    </row>
    <row r="183" spans="1:11" s="19" customFormat="1" x14ac:dyDescent="0.25">
      <c r="A183" s="19" t="str">
        <f t="array" ref="A183">IFERROR(IF(ROWS($A$5:A181)&lt;=$A$5,INDEX(Lista1[Código],SMALL(IF(FREQUENCY(IF(Lista1[Código]&lt;&gt;"",
    MATCH("~"&amp;Lista1[Código]&amp;"",Lista1[Código]&amp;"",0)),ROW(Lista1[Código])-ROW(Inicio!$A$9)+1),ROW(Lista1[Código])-ROW(Inicio!$A$9)+1),
      ROWS($A$5:A181))),""),"")</f>
        <v/>
      </c>
      <c r="B183" s="19" t="str">
        <f>IFERROR(VLOOKUP(A183,Lista1[],2,FALSE),"")</f>
        <v/>
      </c>
      <c r="C183" s="1" t="str">
        <f>IF(A183&lt;&gt;"",SUMIF(Lista1[Código],A183,Lista1[Qtd]),"")</f>
        <v/>
      </c>
      <c r="D183" s="1" t="str">
        <f t="shared" si="14"/>
        <v/>
      </c>
      <c r="E183" s="19" t="str">
        <f t="shared" si="11"/>
        <v xml:space="preserve"> </v>
      </c>
      <c r="G183" s="19" t="str">
        <f t="array" ref="G183">IFERROR(IF(ROWS($G$5:G181)&lt;=$G$5,INDEX(Lista2[Código],SMALL(IF(FREQUENCY(IF(Lista2[Código]&lt;&gt;"",
    MATCH("~"&amp;Lista2[Código]&amp;"",Lista2[Código]&amp;"",0)),ROW(Lista2[Código])-ROW(Inicio!$A$9)+1),ROW(Lista2[Código])-ROW(Inicio!$A$9)+1),
      ROWS($G$5:G181))),""),"")</f>
        <v/>
      </c>
      <c r="H183" s="19" t="str">
        <f>IFERROR(VLOOKUP(G183,Lista2[],2,FALSE),"")</f>
        <v/>
      </c>
      <c r="I183" s="1" t="str">
        <f>IF(G183&lt;&gt;"",SUMIF(Lista2[Código],G183,Lista2[Qtd]),"")</f>
        <v/>
      </c>
      <c r="J183" s="1" t="str">
        <f t="shared" si="12"/>
        <v/>
      </c>
      <c r="K183" s="19" t="str">
        <f t="shared" si="13"/>
        <v xml:space="preserve"> </v>
      </c>
    </row>
    <row r="184" spans="1:11" s="19" customFormat="1" x14ac:dyDescent="0.25">
      <c r="A184" s="19" t="str">
        <f t="array" ref="A184">IFERROR(IF(ROWS($A$5:A182)&lt;=$A$5,INDEX(Lista1[Código],SMALL(IF(FREQUENCY(IF(Lista1[Código]&lt;&gt;"",
    MATCH("~"&amp;Lista1[Código]&amp;"",Lista1[Código]&amp;"",0)),ROW(Lista1[Código])-ROW(Inicio!$A$9)+1),ROW(Lista1[Código])-ROW(Inicio!$A$9)+1),
      ROWS($A$5:A182))),""),"")</f>
        <v/>
      </c>
      <c r="B184" s="19" t="str">
        <f>IFERROR(VLOOKUP(A184,Lista1[],2,FALSE),"")</f>
        <v/>
      </c>
      <c r="C184" s="1" t="str">
        <f>IF(A184&lt;&gt;"",SUMIF(Lista1[Código],A184,Lista1[Qtd]),"")</f>
        <v/>
      </c>
      <c r="D184" s="1" t="str">
        <f t="shared" si="14"/>
        <v/>
      </c>
      <c r="E184" s="19" t="str">
        <f t="shared" si="11"/>
        <v xml:space="preserve"> </v>
      </c>
      <c r="G184" s="19" t="str">
        <f t="array" ref="G184">IFERROR(IF(ROWS($G$5:G182)&lt;=$G$5,INDEX(Lista2[Código],SMALL(IF(FREQUENCY(IF(Lista2[Código]&lt;&gt;"",
    MATCH("~"&amp;Lista2[Código]&amp;"",Lista2[Código]&amp;"",0)),ROW(Lista2[Código])-ROW(Inicio!$A$9)+1),ROW(Lista2[Código])-ROW(Inicio!$A$9)+1),
      ROWS($G$5:G182))),""),"")</f>
        <v/>
      </c>
      <c r="H184" s="19" t="str">
        <f>IFERROR(VLOOKUP(G184,Lista2[],2,FALSE),"")</f>
        <v/>
      </c>
      <c r="I184" s="1" t="str">
        <f>IF(G184&lt;&gt;"",SUMIF(Lista2[Código],G184,Lista2[Qtd]),"")</f>
        <v/>
      </c>
      <c r="J184" s="1" t="str">
        <f t="shared" si="12"/>
        <v/>
      </c>
      <c r="K184" s="19" t="str">
        <f t="shared" si="13"/>
        <v xml:space="preserve"> </v>
      </c>
    </row>
    <row r="185" spans="1:11" s="19" customFormat="1" x14ac:dyDescent="0.25">
      <c r="A185" s="19" t="str">
        <f t="array" ref="A185">IFERROR(IF(ROWS($A$5:A183)&lt;=$A$5,INDEX(Lista1[Código],SMALL(IF(FREQUENCY(IF(Lista1[Código]&lt;&gt;"",
    MATCH("~"&amp;Lista1[Código]&amp;"",Lista1[Código]&amp;"",0)),ROW(Lista1[Código])-ROW(Inicio!$A$9)+1),ROW(Lista1[Código])-ROW(Inicio!$A$9)+1),
      ROWS($A$5:A183))),""),"")</f>
        <v/>
      </c>
      <c r="B185" s="19" t="str">
        <f>IFERROR(VLOOKUP(A185,Lista1[],2,FALSE),"")</f>
        <v/>
      </c>
      <c r="C185" s="1" t="str">
        <f>IF(A185&lt;&gt;"",SUMIF(Lista1[Código],A185,Lista1[Qtd]),"")</f>
        <v/>
      </c>
      <c r="D185" s="1" t="str">
        <f t="shared" si="14"/>
        <v/>
      </c>
      <c r="E185" s="19" t="str">
        <f t="shared" si="11"/>
        <v xml:space="preserve"> </v>
      </c>
      <c r="G185" s="19" t="str">
        <f t="array" ref="G185">IFERROR(IF(ROWS($G$5:G183)&lt;=$G$5,INDEX(Lista2[Código],SMALL(IF(FREQUENCY(IF(Lista2[Código]&lt;&gt;"",
    MATCH("~"&amp;Lista2[Código]&amp;"",Lista2[Código]&amp;"",0)),ROW(Lista2[Código])-ROW(Inicio!$A$9)+1),ROW(Lista2[Código])-ROW(Inicio!$A$9)+1),
      ROWS($G$5:G183))),""),"")</f>
        <v/>
      </c>
      <c r="H185" s="19" t="str">
        <f>IFERROR(VLOOKUP(G185,Lista2[],2,FALSE),"")</f>
        <v/>
      </c>
      <c r="I185" s="1" t="str">
        <f>IF(G185&lt;&gt;"",SUMIF(Lista2[Código],G185,Lista2[Qtd]),"")</f>
        <v/>
      </c>
      <c r="J185" s="1" t="str">
        <f t="shared" si="12"/>
        <v/>
      </c>
      <c r="K185" s="19" t="str">
        <f t="shared" si="13"/>
        <v xml:space="preserve"> </v>
      </c>
    </row>
    <row r="186" spans="1:11" s="19" customFormat="1" x14ac:dyDescent="0.25">
      <c r="A186" s="19" t="str">
        <f t="array" ref="A186">IFERROR(IF(ROWS($A$5:A184)&lt;=$A$5,INDEX(Lista1[Código],SMALL(IF(FREQUENCY(IF(Lista1[Código]&lt;&gt;"",
    MATCH("~"&amp;Lista1[Código]&amp;"",Lista1[Código]&amp;"",0)),ROW(Lista1[Código])-ROW(Inicio!$A$9)+1),ROW(Lista1[Código])-ROW(Inicio!$A$9)+1),
      ROWS($A$5:A184))),""),"")</f>
        <v/>
      </c>
      <c r="B186" s="19" t="str">
        <f>IFERROR(VLOOKUP(A186,Lista1[],2,FALSE),"")</f>
        <v/>
      </c>
      <c r="C186" s="1" t="str">
        <f>IF(A186&lt;&gt;"",SUMIF(Lista1[Código],A186,Lista1[Qtd]),"")</f>
        <v/>
      </c>
      <c r="D186" s="1" t="str">
        <f t="shared" si="14"/>
        <v/>
      </c>
      <c r="E186" s="19" t="str">
        <f t="shared" si="11"/>
        <v xml:space="preserve"> </v>
      </c>
      <c r="G186" s="19" t="str">
        <f t="array" ref="G186">IFERROR(IF(ROWS($G$5:G184)&lt;=$G$5,INDEX(Lista2[Código],SMALL(IF(FREQUENCY(IF(Lista2[Código]&lt;&gt;"",
    MATCH("~"&amp;Lista2[Código]&amp;"",Lista2[Código]&amp;"",0)),ROW(Lista2[Código])-ROW(Inicio!$A$9)+1),ROW(Lista2[Código])-ROW(Inicio!$A$9)+1),
      ROWS($G$5:G184))),""),"")</f>
        <v/>
      </c>
      <c r="H186" s="19" t="str">
        <f>IFERROR(VLOOKUP(G186,Lista2[],2,FALSE),"")</f>
        <v/>
      </c>
      <c r="I186" s="1" t="str">
        <f>IF(G186&lt;&gt;"",SUMIF(Lista2[Código],G186,Lista2[Qtd]),"")</f>
        <v/>
      </c>
      <c r="J186" s="1" t="str">
        <f t="shared" si="12"/>
        <v/>
      </c>
      <c r="K186" s="19" t="str">
        <f t="shared" si="13"/>
        <v xml:space="preserve"> </v>
      </c>
    </row>
    <row r="187" spans="1:11" s="19" customFormat="1" x14ac:dyDescent="0.25">
      <c r="A187" s="19" t="str">
        <f t="array" ref="A187">IFERROR(IF(ROWS($A$5:A185)&lt;=$A$5,INDEX(Lista1[Código],SMALL(IF(FREQUENCY(IF(Lista1[Código]&lt;&gt;"",
    MATCH("~"&amp;Lista1[Código]&amp;"",Lista1[Código]&amp;"",0)),ROW(Lista1[Código])-ROW(Inicio!$A$9)+1),ROW(Lista1[Código])-ROW(Inicio!$A$9)+1),
      ROWS($A$5:A185))),""),"")</f>
        <v/>
      </c>
      <c r="B187" s="19" t="str">
        <f>IFERROR(VLOOKUP(A187,Lista1[],2,FALSE),"")</f>
        <v/>
      </c>
      <c r="C187" s="1" t="str">
        <f>IF(A187&lt;&gt;"",SUMIF(Lista1[Código],A187,Lista1[Qtd]),"")</f>
        <v/>
      </c>
      <c r="D187" s="1" t="str">
        <f t="shared" si="14"/>
        <v/>
      </c>
      <c r="E187" s="19" t="str">
        <f t="shared" si="11"/>
        <v xml:space="preserve"> </v>
      </c>
      <c r="G187" s="19" t="str">
        <f t="array" ref="G187">IFERROR(IF(ROWS($G$5:G185)&lt;=$G$5,INDEX(Lista2[Código],SMALL(IF(FREQUENCY(IF(Lista2[Código]&lt;&gt;"",
    MATCH("~"&amp;Lista2[Código]&amp;"",Lista2[Código]&amp;"",0)),ROW(Lista2[Código])-ROW(Inicio!$A$9)+1),ROW(Lista2[Código])-ROW(Inicio!$A$9)+1),
      ROWS($G$5:G185))),""),"")</f>
        <v/>
      </c>
      <c r="H187" s="19" t="str">
        <f>IFERROR(VLOOKUP(G187,Lista2[],2,FALSE),"")</f>
        <v/>
      </c>
      <c r="I187" s="1" t="str">
        <f>IF(G187&lt;&gt;"",SUMIF(Lista2[Código],G187,Lista2[Qtd]),"")</f>
        <v/>
      </c>
      <c r="J187" s="1" t="str">
        <f t="shared" si="12"/>
        <v/>
      </c>
      <c r="K187" s="19" t="str">
        <f t="shared" si="13"/>
        <v xml:space="preserve"> </v>
      </c>
    </row>
    <row r="188" spans="1:11" s="19" customFormat="1" x14ac:dyDescent="0.25">
      <c r="A188" s="19" t="str">
        <f t="array" ref="A188">IFERROR(IF(ROWS($A$5:A186)&lt;=$A$5,INDEX(Lista1[Código],SMALL(IF(FREQUENCY(IF(Lista1[Código]&lt;&gt;"",
    MATCH("~"&amp;Lista1[Código]&amp;"",Lista1[Código]&amp;"",0)),ROW(Lista1[Código])-ROW(Inicio!$A$9)+1),ROW(Lista1[Código])-ROW(Inicio!$A$9)+1),
      ROWS($A$5:A186))),""),"")</f>
        <v/>
      </c>
      <c r="B188" s="19" t="str">
        <f>IFERROR(VLOOKUP(A188,Lista1[],2,FALSE),"")</f>
        <v/>
      </c>
      <c r="C188" s="1" t="str">
        <f>IF(A188&lt;&gt;"",SUMIF(Lista1[Código],A188,Lista1[Qtd]),"")</f>
        <v/>
      </c>
      <c r="D188" s="1" t="str">
        <f t="shared" si="14"/>
        <v/>
      </c>
      <c r="E188" s="19" t="str">
        <f t="shared" si="11"/>
        <v xml:space="preserve"> </v>
      </c>
      <c r="G188" s="19" t="str">
        <f t="array" ref="G188">IFERROR(IF(ROWS($G$5:G186)&lt;=$G$5,INDEX(Lista2[Código],SMALL(IF(FREQUENCY(IF(Lista2[Código]&lt;&gt;"",
    MATCH("~"&amp;Lista2[Código]&amp;"",Lista2[Código]&amp;"",0)),ROW(Lista2[Código])-ROW(Inicio!$A$9)+1),ROW(Lista2[Código])-ROW(Inicio!$A$9)+1),
      ROWS($G$5:G186))),""),"")</f>
        <v/>
      </c>
      <c r="H188" s="19" t="str">
        <f>IFERROR(VLOOKUP(G188,Lista2[],2,FALSE),"")</f>
        <v/>
      </c>
      <c r="I188" s="1" t="str">
        <f>IF(G188&lt;&gt;"",SUMIF(Lista2[Código],G188,Lista2[Qtd]),"")</f>
        <v/>
      </c>
      <c r="J188" s="1" t="str">
        <f t="shared" si="12"/>
        <v/>
      </c>
      <c r="K188" s="19" t="str">
        <f t="shared" si="13"/>
        <v xml:space="preserve"> </v>
      </c>
    </row>
    <row r="189" spans="1:11" s="19" customFormat="1" x14ac:dyDescent="0.25">
      <c r="A189" s="19" t="str">
        <f t="array" ref="A189">IFERROR(IF(ROWS($A$5:A187)&lt;=$A$5,INDEX(Lista1[Código],SMALL(IF(FREQUENCY(IF(Lista1[Código]&lt;&gt;"",
    MATCH("~"&amp;Lista1[Código]&amp;"",Lista1[Código]&amp;"",0)),ROW(Lista1[Código])-ROW(Inicio!$A$9)+1),ROW(Lista1[Código])-ROW(Inicio!$A$9)+1),
      ROWS($A$5:A187))),""),"")</f>
        <v/>
      </c>
      <c r="B189" s="19" t="str">
        <f>IFERROR(VLOOKUP(A189,Lista1[],2,FALSE),"")</f>
        <v/>
      </c>
      <c r="C189" s="1" t="str">
        <f>IF(A189&lt;&gt;"",SUMIF(Lista1[Código],A189,Lista1[Qtd]),"")</f>
        <v/>
      </c>
      <c r="D189" s="1" t="str">
        <f t="shared" si="14"/>
        <v/>
      </c>
      <c r="E189" s="19" t="str">
        <f t="shared" si="11"/>
        <v xml:space="preserve"> </v>
      </c>
      <c r="G189" s="19" t="str">
        <f t="array" ref="G189">IFERROR(IF(ROWS($G$5:G187)&lt;=$G$5,INDEX(Lista2[Código],SMALL(IF(FREQUENCY(IF(Lista2[Código]&lt;&gt;"",
    MATCH("~"&amp;Lista2[Código]&amp;"",Lista2[Código]&amp;"",0)),ROW(Lista2[Código])-ROW(Inicio!$A$9)+1),ROW(Lista2[Código])-ROW(Inicio!$A$9)+1),
      ROWS($G$5:G187))),""),"")</f>
        <v/>
      </c>
      <c r="H189" s="19" t="str">
        <f>IFERROR(VLOOKUP(G189,Lista2[],2,FALSE),"")</f>
        <v/>
      </c>
      <c r="I189" s="1" t="str">
        <f>IF(G189&lt;&gt;"",SUMIF(Lista2[Código],G189,Lista2[Qtd]),"")</f>
        <v/>
      </c>
      <c r="J189" s="1" t="str">
        <f t="shared" si="12"/>
        <v/>
      </c>
      <c r="K189" s="19" t="str">
        <f t="shared" si="13"/>
        <v xml:space="preserve"> </v>
      </c>
    </row>
    <row r="190" spans="1:11" s="19" customFormat="1" x14ac:dyDescent="0.25">
      <c r="A190" s="19" t="str">
        <f t="array" ref="A190">IFERROR(IF(ROWS($A$5:A188)&lt;=$A$5,INDEX(Lista1[Código],SMALL(IF(FREQUENCY(IF(Lista1[Código]&lt;&gt;"",
    MATCH("~"&amp;Lista1[Código]&amp;"",Lista1[Código]&amp;"",0)),ROW(Lista1[Código])-ROW(Inicio!$A$9)+1),ROW(Lista1[Código])-ROW(Inicio!$A$9)+1),
      ROWS($A$5:A188))),""),"")</f>
        <v/>
      </c>
      <c r="B190" s="19" t="str">
        <f>IFERROR(VLOOKUP(A190,Lista1[],2,FALSE),"")</f>
        <v/>
      </c>
      <c r="C190" s="1" t="str">
        <f>IF(A190&lt;&gt;"",SUMIF(Lista1[Código],A190,Lista1[Qtd]),"")</f>
        <v/>
      </c>
      <c r="D190" s="1" t="str">
        <f t="shared" si="14"/>
        <v/>
      </c>
      <c r="E190" s="19" t="str">
        <f t="shared" si="11"/>
        <v xml:space="preserve"> </v>
      </c>
      <c r="G190" s="19" t="str">
        <f t="array" ref="G190">IFERROR(IF(ROWS($G$5:G188)&lt;=$G$5,INDEX(Lista2[Código],SMALL(IF(FREQUENCY(IF(Lista2[Código]&lt;&gt;"",
    MATCH("~"&amp;Lista2[Código]&amp;"",Lista2[Código]&amp;"",0)),ROW(Lista2[Código])-ROW(Inicio!$A$9)+1),ROW(Lista2[Código])-ROW(Inicio!$A$9)+1),
      ROWS($G$5:G188))),""),"")</f>
        <v/>
      </c>
      <c r="H190" s="19" t="str">
        <f>IFERROR(VLOOKUP(G190,Lista2[],2,FALSE),"")</f>
        <v/>
      </c>
      <c r="I190" s="1" t="str">
        <f>IF(G190&lt;&gt;"",SUMIF(Lista2[Código],G190,Lista2[Qtd]),"")</f>
        <v/>
      </c>
      <c r="J190" s="1" t="str">
        <f t="shared" si="12"/>
        <v/>
      </c>
      <c r="K190" s="19" t="str">
        <f t="shared" si="13"/>
        <v xml:space="preserve"> </v>
      </c>
    </row>
    <row r="191" spans="1:11" s="19" customFormat="1" x14ac:dyDescent="0.25">
      <c r="A191" s="19" t="str">
        <f t="array" ref="A191">IFERROR(IF(ROWS($A$5:A189)&lt;=$A$5,INDEX(Lista1[Código],SMALL(IF(FREQUENCY(IF(Lista1[Código]&lt;&gt;"",
    MATCH("~"&amp;Lista1[Código]&amp;"",Lista1[Código]&amp;"",0)),ROW(Lista1[Código])-ROW(Inicio!$A$9)+1),ROW(Lista1[Código])-ROW(Inicio!$A$9)+1),
      ROWS($A$5:A189))),""),"")</f>
        <v/>
      </c>
      <c r="B191" s="19" t="str">
        <f>IFERROR(VLOOKUP(A191,Lista1[],2,FALSE),"")</f>
        <v/>
      </c>
      <c r="C191" s="1" t="str">
        <f>IF(A191&lt;&gt;"",SUMIF(Lista1[Código],A191,Lista1[Qtd]),"")</f>
        <v/>
      </c>
      <c r="D191" s="1" t="str">
        <f t="shared" si="14"/>
        <v/>
      </c>
      <c r="E191" s="19" t="str">
        <f t="shared" si="11"/>
        <v xml:space="preserve"> </v>
      </c>
      <c r="G191" s="19" t="str">
        <f t="array" ref="G191">IFERROR(IF(ROWS($G$5:G189)&lt;=$G$5,INDEX(Lista2[Código],SMALL(IF(FREQUENCY(IF(Lista2[Código]&lt;&gt;"",
    MATCH("~"&amp;Lista2[Código]&amp;"",Lista2[Código]&amp;"",0)),ROW(Lista2[Código])-ROW(Inicio!$A$9)+1),ROW(Lista2[Código])-ROW(Inicio!$A$9)+1),
      ROWS($G$5:G189))),""),"")</f>
        <v/>
      </c>
      <c r="H191" s="19" t="str">
        <f>IFERROR(VLOOKUP(G191,Lista2[],2,FALSE),"")</f>
        <v/>
      </c>
      <c r="I191" s="1" t="str">
        <f>IF(G191&lt;&gt;"",SUMIF(Lista2[Código],G191,Lista2[Qtd]),"")</f>
        <v/>
      </c>
      <c r="J191" s="1" t="str">
        <f t="shared" si="12"/>
        <v/>
      </c>
      <c r="K191" s="19" t="str">
        <f t="shared" si="13"/>
        <v xml:space="preserve"> </v>
      </c>
    </row>
    <row r="192" spans="1:11" s="19" customFormat="1" x14ac:dyDescent="0.25">
      <c r="A192" s="19" t="str">
        <f t="array" ref="A192">IFERROR(IF(ROWS($A$5:A190)&lt;=$A$5,INDEX(Lista1[Código],SMALL(IF(FREQUENCY(IF(Lista1[Código]&lt;&gt;"",
    MATCH("~"&amp;Lista1[Código]&amp;"",Lista1[Código]&amp;"",0)),ROW(Lista1[Código])-ROW(Inicio!$A$9)+1),ROW(Lista1[Código])-ROW(Inicio!$A$9)+1),
      ROWS($A$5:A190))),""),"")</f>
        <v/>
      </c>
      <c r="B192" s="19" t="str">
        <f>IFERROR(VLOOKUP(A192,Lista1[],2,FALSE),"")</f>
        <v/>
      </c>
      <c r="C192" s="1" t="str">
        <f>IF(A192&lt;&gt;"",SUMIF(Lista1[Código],A192,Lista1[Qtd]),"")</f>
        <v/>
      </c>
      <c r="D192" s="1" t="str">
        <f t="shared" si="14"/>
        <v/>
      </c>
      <c r="E192" s="19" t="str">
        <f t="shared" si="11"/>
        <v xml:space="preserve"> </v>
      </c>
      <c r="G192" s="19" t="str">
        <f t="array" ref="G192">IFERROR(IF(ROWS($G$5:G190)&lt;=$G$5,INDEX(Lista2[Código],SMALL(IF(FREQUENCY(IF(Lista2[Código]&lt;&gt;"",
    MATCH("~"&amp;Lista2[Código]&amp;"",Lista2[Código]&amp;"",0)),ROW(Lista2[Código])-ROW(Inicio!$A$9)+1),ROW(Lista2[Código])-ROW(Inicio!$A$9)+1),
      ROWS($G$5:G190))),""),"")</f>
        <v/>
      </c>
      <c r="H192" s="19" t="str">
        <f>IFERROR(VLOOKUP(G192,Lista2[],2,FALSE),"")</f>
        <v/>
      </c>
      <c r="I192" s="1" t="str">
        <f>IF(G192&lt;&gt;"",SUMIF(Lista2[Código],G192,Lista2[Qtd]),"")</f>
        <v/>
      </c>
      <c r="J192" s="1" t="str">
        <f t="shared" si="12"/>
        <v/>
      </c>
      <c r="K192" s="19" t="str">
        <f t="shared" si="13"/>
        <v xml:space="preserve"> </v>
      </c>
    </row>
    <row r="193" spans="1:11" s="19" customFormat="1" x14ac:dyDescent="0.25">
      <c r="A193" s="19" t="str">
        <f t="array" ref="A193">IFERROR(IF(ROWS($A$5:A191)&lt;=$A$5,INDEX(Lista1[Código],SMALL(IF(FREQUENCY(IF(Lista1[Código]&lt;&gt;"",
    MATCH("~"&amp;Lista1[Código]&amp;"",Lista1[Código]&amp;"",0)),ROW(Lista1[Código])-ROW(Inicio!$A$9)+1),ROW(Lista1[Código])-ROW(Inicio!$A$9)+1),
      ROWS($A$5:A191))),""),"")</f>
        <v/>
      </c>
      <c r="B193" s="19" t="str">
        <f>IFERROR(VLOOKUP(A193,Lista1[],2,FALSE),"")</f>
        <v/>
      </c>
      <c r="C193" s="1" t="str">
        <f>IF(A193&lt;&gt;"",SUMIF(Lista1[Código],A193,Lista1[Qtd]),"")</f>
        <v/>
      </c>
      <c r="D193" s="1" t="str">
        <f t="shared" si="14"/>
        <v/>
      </c>
      <c r="E193" s="19" t="str">
        <f t="shared" si="11"/>
        <v xml:space="preserve"> </v>
      </c>
      <c r="G193" s="19" t="str">
        <f t="array" ref="G193">IFERROR(IF(ROWS($G$5:G191)&lt;=$G$5,INDEX(Lista2[Código],SMALL(IF(FREQUENCY(IF(Lista2[Código]&lt;&gt;"",
    MATCH("~"&amp;Lista2[Código]&amp;"",Lista2[Código]&amp;"",0)),ROW(Lista2[Código])-ROW(Inicio!$A$9)+1),ROW(Lista2[Código])-ROW(Inicio!$A$9)+1),
      ROWS($G$5:G191))),""),"")</f>
        <v/>
      </c>
      <c r="H193" s="19" t="str">
        <f>IFERROR(VLOOKUP(G193,Lista2[],2,FALSE),"")</f>
        <v/>
      </c>
      <c r="I193" s="1" t="str">
        <f>IF(G193&lt;&gt;"",SUMIF(Lista2[Código],G193,Lista2[Qtd]),"")</f>
        <v/>
      </c>
      <c r="J193" s="1" t="str">
        <f t="shared" si="12"/>
        <v/>
      </c>
      <c r="K193" s="19" t="str">
        <f t="shared" si="13"/>
        <v xml:space="preserve"> </v>
      </c>
    </row>
    <row r="194" spans="1:11" s="19" customFormat="1" x14ac:dyDescent="0.25">
      <c r="A194" s="19" t="str">
        <f t="array" ref="A194">IFERROR(IF(ROWS($A$5:A192)&lt;=$A$5,INDEX(Lista1[Código],SMALL(IF(FREQUENCY(IF(Lista1[Código]&lt;&gt;"",
    MATCH("~"&amp;Lista1[Código]&amp;"",Lista1[Código]&amp;"",0)),ROW(Lista1[Código])-ROW(Inicio!$A$9)+1),ROW(Lista1[Código])-ROW(Inicio!$A$9)+1),
      ROWS($A$5:A192))),""),"")</f>
        <v/>
      </c>
      <c r="B194" s="19" t="str">
        <f>IFERROR(VLOOKUP(A194,Lista1[],2,FALSE),"")</f>
        <v/>
      </c>
      <c r="C194" s="1" t="str">
        <f>IF(A194&lt;&gt;"",SUMIF(Lista1[Código],A194,Lista1[Qtd]),"")</f>
        <v/>
      </c>
      <c r="D194" s="1" t="str">
        <f t="shared" si="14"/>
        <v/>
      </c>
      <c r="E194" s="19" t="str">
        <f t="shared" si="11"/>
        <v xml:space="preserve"> </v>
      </c>
      <c r="G194" s="19" t="str">
        <f t="array" ref="G194">IFERROR(IF(ROWS($G$5:G192)&lt;=$G$5,INDEX(Lista2[Código],SMALL(IF(FREQUENCY(IF(Lista2[Código]&lt;&gt;"",
    MATCH("~"&amp;Lista2[Código]&amp;"",Lista2[Código]&amp;"",0)),ROW(Lista2[Código])-ROW(Inicio!$A$9)+1),ROW(Lista2[Código])-ROW(Inicio!$A$9)+1),
      ROWS($G$5:G192))),""),"")</f>
        <v/>
      </c>
      <c r="H194" s="19" t="str">
        <f>IFERROR(VLOOKUP(G194,Lista2[],2,FALSE),"")</f>
        <v/>
      </c>
      <c r="I194" s="1" t="str">
        <f>IF(G194&lt;&gt;"",SUMIF(Lista2[Código],G194,Lista2[Qtd]),"")</f>
        <v/>
      </c>
      <c r="J194" s="1" t="str">
        <f t="shared" si="12"/>
        <v/>
      </c>
      <c r="K194" s="19" t="str">
        <f t="shared" si="13"/>
        <v xml:space="preserve"> </v>
      </c>
    </row>
    <row r="195" spans="1:11" s="19" customFormat="1" x14ac:dyDescent="0.25">
      <c r="A195" s="19" t="str">
        <f t="array" ref="A195">IFERROR(IF(ROWS($A$5:A193)&lt;=$A$5,INDEX(Lista1[Código],SMALL(IF(FREQUENCY(IF(Lista1[Código]&lt;&gt;"",
    MATCH("~"&amp;Lista1[Código]&amp;"",Lista1[Código]&amp;"",0)),ROW(Lista1[Código])-ROW(Inicio!$A$9)+1),ROW(Lista1[Código])-ROW(Inicio!$A$9)+1),
      ROWS($A$5:A193))),""),"")</f>
        <v/>
      </c>
      <c r="B195" s="19" t="str">
        <f>IFERROR(VLOOKUP(A195,Lista1[],2,FALSE),"")</f>
        <v/>
      </c>
      <c r="C195" s="1" t="str">
        <f>IF(A195&lt;&gt;"",SUMIF(Lista1[Código],A195,Lista1[Qtd]),"")</f>
        <v/>
      </c>
      <c r="D195" s="1" t="str">
        <f t="shared" si="14"/>
        <v/>
      </c>
      <c r="E195" s="19" t="str">
        <f t="shared" si="11"/>
        <v xml:space="preserve"> </v>
      </c>
      <c r="G195" s="19" t="str">
        <f t="array" ref="G195">IFERROR(IF(ROWS($G$5:G193)&lt;=$G$5,INDEX(Lista2[Código],SMALL(IF(FREQUENCY(IF(Lista2[Código]&lt;&gt;"",
    MATCH("~"&amp;Lista2[Código]&amp;"",Lista2[Código]&amp;"",0)),ROW(Lista2[Código])-ROW(Inicio!$A$9)+1),ROW(Lista2[Código])-ROW(Inicio!$A$9)+1),
      ROWS($G$5:G193))),""),"")</f>
        <v/>
      </c>
      <c r="H195" s="19" t="str">
        <f>IFERROR(VLOOKUP(G195,Lista2[],2,FALSE),"")</f>
        <v/>
      </c>
      <c r="I195" s="1" t="str">
        <f>IF(G195&lt;&gt;"",SUMIF(Lista2[Código],G195,Lista2[Qtd]),"")</f>
        <v/>
      </c>
      <c r="J195" s="1" t="str">
        <f t="shared" si="12"/>
        <v/>
      </c>
      <c r="K195" s="19" t="str">
        <f t="shared" si="13"/>
        <v xml:space="preserve"> </v>
      </c>
    </row>
    <row r="196" spans="1:11" s="19" customFormat="1" x14ac:dyDescent="0.25">
      <c r="A196" s="19" t="str">
        <f t="array" ref="A196">IFERROR(IF(ROWS($A$5:A194)&lt;=$A$5,INDEX(Lista1[Código],SMALL(IF(FREQUENCY(IF(Lista1[Código]&lt;&gt;"",
    MATCH("~"&amp;Lista1[Código]&amp;"",Lista1[Código]&amp;"",0)),ROW(Lista1[Código])-ROW(Inicio!$A$9)+1),ROW(Lista1[Código])-ROW(Inicio!$A$9)+1),
      ROWS($A$5:A194))),""),"")</f>
        <v/>
      </c>
      <c r="B196" s="19" t="str">
        <f>IFERROR(VLOOKUP(A196,Lista1[],2,FALSE),"")</f>
        <v/>
      </c>
      <c r="C196" s="1" t="str">
        <f>IF(A196&lt;&gt;"",SUMIF(Lista1[Código],A196,Lista1[Qtd]),"")</f>
        <v/>
      </c>
      <c r="D196" s="1" t="str">
        <f t="shared" si="14"/>
        <v/>
      </c>
      <c r="E196" s="19" t="str">
        <f t="shared" si="11"/>
        <v xml:space="preserve"> </v>
      </c>
      <c r="G196" s="19" t="str">
        <f t="array" ref="G196">IFERROR(IF(ROWS($G$5:G194)&lt;=$G$5,INDEX(Lista2[Código],SMALL(IF(FREQUENCY(IF(Lista2[Código]&lt;&gt;"",
    MATCH("~"&amp;Lista2[Código]&amp;"",Lista2[Código]&amp;"",0)),ROW(Lista2[Código])-ROW(Inicio!$A$9)+1),ROW(Lista2[Código])-ROW(Inicio!$A$9)+1),
      ROWS($G$5:G194))),""),"")</f>
        <v/>
      </c>
      <c r="H196" s="19" t="str">
        <f>IFERROR(VLOOKUP(G196,Lista2[],2,FALSE),"")</f>
        <v/>
      </c>
      <c r="I196" s="1" t="str">
        <f>IF(G196&lt;&gt;"",SUMIF(Lista2[Código],G196,Lista2[Qtd]),"")</f>
        <v/>
      </c>
      <c r="J196" s="1" t="str">
        <f t="shared" si="12"/>
        <v/>
      </c>
      <c r="K196" s="19" t="str">
        <f t="shared" si="13"/>
        <v xml:space="preserve"> </v>
      </c>
    </row>
    <row r="197" spans="1:11" s="19" customFormat="1" x14ac:dyDescent="0.25">
      <c r="A197" s="19" t="str">
        <f t="array" ref="A197">IFERROR(IF(ROWS($A$5:A195)&lt;=$A$5,INDEX(Lista1[Código],SMALL(IF(FREQUENCY(IF(Lista1[Código]&lt;&gt;"",
    MATCH("~"&amp;Lista1[Código]&amp;"",Lista1[Código]&amp;"",0)),ROW(Lista1[Código])-ROW(Inicio!$A$9)+1),ROW(Lista1[Código])-ROW(Inicio!$A$9)+1),
      ROWS($A$5:A195))),""),"")</f>
        <v/>
      </c>
      <c r="B197" s="19" t="str">
        <f>IFERROR(VLOOKUP(A197,Lista1[],2,FALSE),"")</f>
        <v/>
      </c>
      <c r="C197" s="1" t="str">
        <f>IF(A197&lt;&gt;"",SUMIF(Lista1[Código],A197,Lista1[Qtd]),"")</f>
        <v/>
      </c>
      <c r="D197" s="1" t="str">
        <f t="shared" si="14"/>
        <v/>
      </c>
      <c r="E197" s="19" t="str">
        <f t="shared" si="11"/>
        <v xml:space="preserve"> </v>
      </c>
      <c r="G197" s="19" t="str">
        <f t="array" ref="G197">IFERROR(IF(ROWS($G$5:G195)&lt;=$G$5,INDEX(Lista2[Código],SMALL(IF(FREQUENCY(IF(Lista2[Código]&lt;&gt;"",
    MATCH("~"&amp;Lista2[Código]&amp;"",Lista2[Código]&amp;"",0)),ROW(Lista2[Código])-ROW(Inicio!$A$9)+1),ROW(Lista2[Código])-ROW(Inicio!$A$9)+1),
      ROWS($G$5:G195))),""),"")</f>
        <v/>
      </c>
      <c r="H197" s="19" t="str">
        <f>IFERROR(VLOOKUP(G197,Lista2[],2,FALSE),"")</f>
        <v/>
      </c>
      <c r="I197" s="1" t="str">
        <f>IF(G197&lt;&gt;"",SUMIF(Lista2[Código],G197,Lista2[Qtd]),"")</f>
        <v/>
      </c>
      <c r="J197" s="1" t="str">
        <f t="shared" si="12"/>
        <v/>
      </c>
      <c r="K197" s="19" t="str">
        <f t="shared" si="13"/>
        <v xml:space="preserve"> </v>
      </c>
    </row>
    <row r="198" spans="1:11" s="19" customFormat="1" x14ac:dyDescent="0.25">
      <c r="A198" s="19" t="str">
        <f t="array" ref="A198">IFERROR(IF(ROWS($A$5:A196)&lt;=$A$5,INDEX(Lista1[Código],SMALL(IF(FREQUENCY(IF(Lista1[Código]&lt;&gt;"",
    MATCH("~"&amp;Lista1[Código]&amp;"",Lista1[Código]&amp;"",0)),ROW(Lista1[Código])-ROW(Inicio!$A$9)+1),ROW(Lista1[Código])-ROW(Inicio!$A$9)+1),
      ROWS($A$5:A196))),""),"")</f>
        <v/>
      </c>
      <c r="B198" s="19" t="str">
        <f>IFERROR(VLOOKUP(A198,Lista1[],2,FALSE),"")</f>
        <v/>
      </c>
      <c r="C198" s="1" t="str">
        <f>IF(A198&lt;&gt;"",SUMIF(Lista1[Código],A198,Lista1[Qtd]),"")</f>
        <v/>
      </c>
      <c r="D198" s="1" t="str">
        <f t="shared" si="14"/>
        <v/>
      </c>
      <c r="E198" s="19" t="str">
        <f t="shared" si="11"/>
        <v xml:space="preserve"> </v>
      </c>
      <c r="G198" s="19" t="str">
        <f t="array" ref="G198">IFERROR(IF(ROWS($G$5:G196)&lt;=$G$5,INDEX(Lista2[Código],SMALL(IF(FREQUENCY(IF(Lista2[Código]&lt;&gt;"",
    MATCH("~"&amp;Lista2[Código]&amp;"",Lista2[Código]&amp;"",0)),ROW(Lista2[Código])-ROW(Inicio!$A$9)+1),ROW(Lista2[Código])-ROW(Inicio!$A$9)+1),
      ROWS($G$5:G196))),""),"")</f>
        <v/>
      </c>
      <c r="H198" s="19" t="str">
        <f>IFERROR(VLOOKUP(G198,Lista2[],2,FALSE),"")</f>
        <v/>
      </c>
      <c r="I198" s="1" t="str">
        <f>IF(G198&lt;&gt;"",SUMIF(Lista2[Código],G198,Lista2[Qtd]),"")</f>
        <v/>
      </c>
      <c r="J198" s="1" t="str">
        <f t="shared" si="12"/>
        <v/>
      </c>
      <c r="K198" s="19" t="str">
        <f t="shared" si="13"/>
        <v xml:space="preserve"> </v>
      </c>
    </row>
    <row r="199" spans="1:11" s="19" customFormat="1" x14ac:dyDescent="0.25">
      <c r="A199" s="19" t="str">
        <f t="array" ref="A199">IFERROR(IF(ROWS($A$5:A197)&lt;=$A$5,INDEX(Lista1[Código],SMALL(IF(FREQUENCY(IF(Lista1[Código]&lt;&gt;"",
    MATCH("~"&amp;Lista1[Código]&amp;"",Lista1[Código]&amp;"",0)),ROW(Lista1[Código])-ROW(Inicio!$A$9)+1),ROW(Lista1[Código])-ROW(Inicio!$A$9)+1),
      ROWS($A$5:A197))),""),"")</f>
        <v/>
      </c>
      <c r="B199" s="19" t="str">
        <f>IFERROR(VLOOKUP(A199,Lista1[],2,FALSE),"")</f>
        <v/>
      </c>
      <c r="C199" s="1" t="str">
        <f>IF(A199&lt;&gt;"",SUMIF(Lista1[Código],A199,Lista1[Qtd]),"")</f>
        <v/>
      </c>
      <c r="D199" s="1" t="str">
        <f t="shared" si="14"/>
        <v/>
      </c>
      <c r="E199" s="19" t="str">
        <f t="shared" si="11"/>
        <v xml:space="preserve"> </v>
      </c>
      <c r="G199" s="19" t="str">
        <f t="array" ref="G199">IFERROR(IF(ROWS($G$5:G197)&lt;=$G$5,INDEX(Lista2[Código],SMALL(IF(FREQUENCY(IF(Lista2[Código]&lt;&gt;"",
    MATCH("~"&amp;Lista2[Código]&amp;"",Lista2[Código]&amp;"",0)),ROW(Lista2[Código])-ROW(Inicio!$A$9)+1),ROW(Lista2[Código])-ROW(Inicio!$A$9)+1),
      ROWS($G$5:G197))),""),"")</f>
        <v/>
      </c>
      <c r="H199" s="19" t="str">
        <f>IFERROR(VLOOKUP(G199,Lista2[],2,FALSE),"")</f>
        <v/>
      </c>
      <c r="I199" s="1" t="str">
        <f>IF(G199&lt;&gt;"",SUMIF(Lista2[Código],G199,Lista2[Qtd]),"")</f>
        <v/>
      </c>
      <c r="J199" s="1" t="str">
        <f t="shared" si="12"/>
        <v/>
      </c>
      <c r="K199" s="19" t="str">
        <f t="shared" si="13"/>
        <v xml:space="preserve"> </v>
      </c>
    </row>
    <row r="200" spans="1:11" s="19" customFormat="1" x14ac:dyDescent="0.25">
      <c r="A200" s="19" t="str">
        <f t="array" ref="A200">IFERROR(IF(ROWS($A$5:A198)&lt;=$A$5,INDEX(Lista1[Código],SMALL(IF(FREQUENCY(IF(Lista1[Código]&lt;&gt;"",
    MATCH("~"&amp;Lista1[Código]&amp;"",Lista1[Código]&amp;"",0)),ROW(Lista1[Código])-ROW(Inicio!$A$9)+1),ROW(Lista1[Código])-ROW(Inicio!$A$9)+1),
      ROWS($A$5:A198))),""),"")</f>
        <v/>
      </c>
      <c r="B200" s="19" t="str">
        <f>IFERROR(VLOOKUP(A200,Lista1[],2,FALSE),"")</f>
        <v/>
      </c>
      <c r="C200" s="1" t="str">
        <f>IF(A200&lt;&gt;"",SUMIF(Lista1[Código],A200,Lista1[Qtd]),"")</f>
        <v/>
      </c>
      <c r="D200" s="1" t="str">
        <f t="shared" si="14"/>
        <v/>
      </c>
      <c r="E200" s="19" t="str">
        <f t="shared" ref="E200" si="15">IF(C200=""," ",IF(D200=0,"u",IF((C200-D200)=0,"i",IF((C200-D200)&gt;0,"ma","me"))))</f>
        <v xml:space="preserve"> </v>
      </c>
      <c r="G200" s="19" t="str">
        <f t="array" ref="G200">IFERROR(IF(ROWS($G$5:G198)&lt;=$G$5,INDEX(Lista2[Código],SMALL(IF(FREQUENCY(IF(Lista2[Código]&lt;&gt;"",
    MATCH("~"&amp;Lista2[Código]&amp;"",Lista2[Código]&amp;"",0)),ROW(Lista2[Código])-ROW(Inicio!$A$9)+1),ROW(Lista2[Código])-ROW(Inicio!$A$9)+1),
      ROWS($G$5:G198))),""),"")</f>
        <v/>
      </c>
      <c r="H200" s="19" t="str">
        <f>IFERROR(VLOOKUP(G200,Lista2[],2,FALSE),"")</f>
        <v/>
      </c>
      <c r="I200" s="1" t="str">
        <f>IF(G200&lt;&gt;"",SUMIF(Lista2[Código],G200,Lista2[Qtd]),"")</f>
        <v/>
      </c>
      <c r="J200" s="1" t="str">
        <f t="shared" ref="J200" si="16">IF(G200="","",IFERROR(INDEX($A$7:$C$200,MATCH(G200,$A$7:$A$200,0),3),0))</f>
        <v/>
      </c>
      <c r="K200" s="19" t="str">
        <f t="shared" ref="K200" si="17">IF(I200=""," ",IF(J200=0,"u",IF((I200-J200)=0,"i",IF((I200-J200)&gt;0,"ma","me"))))</f>
        <v xml:space="preserve"> </v>
      </c>
    </row>
  </sheetData>
  <mergeCells count="2">
    <mergeCell ref="A3:E3"/>
    <mergeCell ref="G3:K3"/>
  </mergeCells>
  <conditionalFormatting sqref="A7:D200">
    <cfRule type="expression" dxfId="9" priority="2">
      <formula>$E7="u"</formula>
    </cfRule>
    <cfRule type="expression" dxfId="8" priority="7">
      <formula>$E7="ma"</formula>
    </cfRule>
    <cfRule type="expression" dxfId="7" priority="8">
      <formula>$E7="me"</formula>
    </cfRule>
    <cfRule type="expression" dxfId="6" priority="9">
      <formula>$E7="i"</formula>
    </cfRule>
  </conditionalFormatting>
  <conditionalFormatting sqref="G7:J200">
    <cfRule type="expression" dxfId="5" priority="1">
      <formula>$K7="u"</formula>
    </cfRule>
    <cfRule type="expression" dxfId="4" priority="3">
      <formula>$K7="i"</formula>
    </cfRule>
    <cfRule type="expression" dxfId="3" priority="4">
      <formula>$K7="me"</formula>
    </cfRule>
    <cfRule type="expression" dxfId="2" priority="5">
      <formula>$K7="ma"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I499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14" customWidth="1"/>
    <col min="2" max="2" width="41.28515625" customWidth="1"/>
    <col min="3" max="4" width="9.140625" style="1"/>
    <col min="7" max="7" width="41.140625" customWidth="1"/>
    <col min="8" max="9" width="9.140625" style="1"/>
  </cols>
  <sheetData>
    <row r="1" spans="1:9" ht="27.75" customHeight="1" x14ac:dyDescent="0.35">
      <c r="A1" s="2"/>
    </row>
    <row r="2" spans="1:9" ht="7.5" customHeight="1" x14ac:dyDescent="0.25">
      <c r="A2" s="16" t="s">
        <v>10</v>
      </c>
    </row>
    <row r="3" spans="1:9" ht="15.75" x14ac:dyDescent="0.25">
      <c r="A3" s="23" t="str">
        <f>Inicio!B3</f>
        <v>LISTA1</v>
      </c>
      <c r="B3" s="23"/>
      <c r="C3" s="23"/>
      <c r="D3" s="23"/>
      <c r="E3" s="14"/>
      <c r="F3" s="23" t="str">
        <f>Inicio!B6</f>
        <v>LISTA2</v>
      </c>
      <c r="G3" s="23"/>
      <c r="H3" s="23"/>
      <c r="I3" s="23"/>
    </row>
    <row r="4" spans="1:9" x14ac:dyDescent="0.25">
      <c r="A4" s="15" t="s">
        <v>0</v>
      </c>
      <c r="B4" s="15" t="s">
        <v>1</v>
      </c>
      <c r="C4" s="15" t="s">
        <v>3</v>
      </c>
      <c r="D4" s="15" t="s">
        <v>4</v>
      </c>
      <c r="E4" s="15"/>
      <c r="F4" s="15" t="s">
        <v>0</v>
      </c>
      <c r="G4" s="15" t="s">
        <v>1</v>
      </c>
      <c r="H4" s="15" t="s">
        <v>3</v>
      </c>
      <c r="I4" s="15" t="s">
        <v>5</v>
      </c>
    </row>
    <row r="5" spans="1:9" x14ac:dyDescent="0.25">
      <c r="A5" s="3" t="str">
        <f t="array" ref="A5">IFERROR(INDEX(Comparacao!$A$7:$A$200,SMALL(IF(Comparacao!$E$7:$E$200=$A$2,ROW(Comparacao!$A$7:$A$200)),ROW(1:1))-6,1),"")</f>
        <v/>
      </c>
      <c r="B5" s="3" t="str">
        <f>IFERROR(VLOOKUP(A5,Lista1[],2,FALSE),"")</f>
        <v/>
      </c>
      <c r="C5" s="1" t="str">
        <f>VLOOKUP(Filtro!A5,Comparacao!$A$7:$D$200,3,FALSE)</f>
        <v/>
      </c>
      <c r="D5" s="1" t="str">
        <f>VLOOKUP(Filtro!A5,Comparacao!$A$7:$D$200,4,FALSE)</f>
        <v/>
      </c>
      <c r="F5" t="str">
        <f t="array" ref="F5">IFERROR(INDEX(Comparacao!$G$7:$G$200,SMALL(IF(Comparacao!$K$7:$K$200=$A$2,ROW(Comparacao!$G$7:$G$200)),ROW(1:1))-6,1),"")</f>
        <v/>
      </c>
      <c r="G5" t="str">
        <f>IFERROR(VLOOKUP(F5,Lista2[],2,FALSE),"")</f>
        <v/>
      </c>
      <c r="H5" s="1" t="str">
        <f>VLOOKUP(Filtro!F5,Comparacao!$G$7:$J$200,3,FALSE)</f>
        <v/>
      </c>
      <c r="I5" s="1" t="str">
        <f>VLOOKUP(Filtro!F5,Comparacao!$G$7:$J$200,4,FALSE)</f>
        <v/>
      </c>
    </row>
    <row r="6" spans="1:9" x14ac:dyDescent="0.25">
      <c r="A6" s="3" t="str">
        <f t="array" ref="A6">IFERROR(INDEX(Comparacao!$A$7:$A$200,SMALL(IF(Comparacao!$E$7:$E$200=$A$2,ROW(Comparacao!$A$7:$A$200)),ROW(2:2))-6,1),"")</f>
        <v/>
      </c>
      <c r="B6" s="3" t="str">
        <f>IFERROR(VLOOKUP(A6,Lista1[],2,FALSE),"")</f>
        <v/>
      </c>
      <c r="C6" s="1" t="str">
        <f>VLOOKUP(Filtro!A6,Comparacao!$A$7:$D$200,3,FALSE)</f>
        <v/>
      </c>
      <c r="D6" s="1" t="str">
        <f>VLOOKUP(Filtro!A6,Comparacao!$A$7:$D$200,4,FALSE)</f>
        <v/>
      </c>
      <c r="F6" t="str">
        <f t="array" ref="F6">IFERROR(INDEX(Comparacao!$G$7:$G$200,SMALL(IF(Comparacao!$K$7:$K$200=$A$2,ROW(Comparacao!$G$7:$G$200)),ROW(2:2))-6,1),"")</f>
        <v/>
      </c>
      <c r="G6" t="str">
        <f>IFERROR(VLOOKUP(F6,Lista2[],2,FALSE),"")</f>
        <v/>
      </c>
      <c r="H6" s="1" t="str">
        <f>VLOOKUP(Filtro!F6,Comparacao!$G$7:$J$200,3,FALSE)</f>
        <v/>
      </c>
      <c r="I6" s="1" t="str">
        <f>VLOOKUP(Filtro!F6,Comparacao!$G$7:$J$200,4,FALSE)</f>
        <v/>
      </c>
    </row>
    <row r="7" spans="1:9" x14ac:dyDescent="0.25">
      <c r="A7" s="3" t="str">
        <f t="array" ref="A7">IFERROR(INDEX(Comparacao!$A$7:$A$200,SMALL(IF(Comparacao!$E$7:$E$200=$A$2,ROW(Comparacao!$A$7:$A$200)),ROW(3:3))-6,1),"")</f>
        <v/>
      </c>
      <c r="B7" s="3" t="str">
        <f>IFERROR(VLOOKUP(A7,Lista1[],2,FALSE),"")</f>
        <v/>
      </c>
      <c r="C7" s="1" t="str">
        <f>VLOOKUP(Filtro!A7,Comparacao!$A$7:$D$200,3,FALSE)</f>
        <v/>
      </c>
      <c r="D7" s="1" t="str">
        <f>VLOOKUP(Filtro!A7,Comparacao!$A$7:$D$200,4,FALSE)</f>
        <v/>
      </c>
      <c r="F7" t="str">
        <f t="array" ref="F7">IFERROR(INDEX(Comparacao!$G$7:$G$200,SMALL(IF(Comparacao!$K$7:$K$200=$A$2,ROW(Comparacao!$G$7:$G$200)),ROW(3:3))-6,1),"")</f>
        <v/>
      </c>
      <c r="G7" t="str">
        <f>IFERROR(VLOOKUP(F7,Lista2[],2,FALSE),"")</f>
        <v/>
      </c>
      <c r="H7" s="1" t="str">
        <f>VLOOKUP(Filtro!F7,Comparacao!$G$7:$J$200,3,FALSE)</f>
        <v/>
      </c>
      <c r="I7" s="1" t="str">
        <f>VLOOKUP(Filtro!F7,Comparacao!$G$7:$J$200,4,FALSE)</f>
        <v/>
      </c>
    </row>
    <row r="8" spans="1:9" x14ac:dyDescent="0.25">
      <c r="A8" s="3" t="str">
        <f t="array" ref="A8">IFERROR(INDEX(Comparacao!$A$7:$A$200,SMALL(IF(Comparacao!$E$7:$E$200=$A$2,ROW(Comparacao!$A$7:$A$200)),ROW(4:4))-6,1),"")</f>
        <v/>
      </c>
      <c r="B8" s="3" t="str">
        <f>IFERROR(VLOOKUP(A8,Lista1[],2,FALSE),"")</f>
        <v/>
      </c>
      <c r="C8" s="1" t="str">
        <f>VLOOKUP(Filtro!A8,Comparacao!$A$7:$D$200,3,FALSE)</f>
        <v/>
      </c>
      <c r="D8" s="1" t="str">
        <f>VLOOKUP(Filtro!A8,Comparacao!$A$7:$D$200,4,FALSE)</f>
        <v/>
      </c>
      <c r="F8" t="str">
        <f t="array" ref="F8">IFERROR(INDEX(Comparacao!$G$7:$G$200,SMALL(IF(Comparacao!$K$7:$K$200=$A$2,ROW(Comparacao!$G$7:$G$200)),ROW(4:4))-6,1),"")</f>
        <v/>
      </c>
      <c r="G8" t="str">
        <f>IFERROR(VLOOKUP(F8,Lista2[],2,FALSE),"")</f>
        <v/>
      </c>
      <c r="H8" s="1" t="str">
        <f>VLOOKUP(Filtro!F8,Comparacao!$G$7:$J$200,3,FALSE)</f>
        <v/>
      </c>
      <c r="I8" s="1" t="str">
        <f>VLOOKUP(Filtro!F8,Comparacao!$G$7:$J$200,4,FALSE)</f>
        <v/>
      </c>
    </row>
    <row r="9" spans="1:9" x14ac:dyDescent="0.25">
      <c r="A9" s="3" t="str">
        <f t="array" ref="A9">IFERROR(INDEX(Comparacao!$A$7:$A$200,SMALL(IF(Comparacao!$E$7:$E$200=$A$2,ROW(Comparacao!$A$7:$A$200)),ROW(5:5))-6,1),"")</f>
        <v/>
      </c>
      <c r="B9" s="3" t="str">
        <f>IFERROR(VLOOKUP(A9,Lista1[],2,FALSE),"")</f>
        <v/>
      </c>
      <c r="C9" s="1" t="str">
        <f>VLOOKUP(Filtro!A9,Comparacao!$A$7:$D$200,3,FALSE)</f>
        <v/>
      </c>
      <c r="D9" s="1" t="str">
        <f>VLOOKUP(Filtro!A9,Comparacao!$A$7:$D$200,4,FALSE)</f>
        <v/>
      </c>
      <c r="F9" t="str">
        <f t="array" ref="F9">IFERROR(INDEX(Comparacao!$G$7:$G$200,SMALL(IF(Comparacao!$K$7:$K$200=$A$2,ROW(Comparacao!$G$7:$G$200)),ROW(5:5))-6,1),"")</f>
        <v/>
      </c>
      <c r="G9" t="str">
        <f>IFERROR(VLOOKUP(F9,Lista2[],2,FALSE),"")</f>
        <v/>
      </c>
      <c r="H9" s="1" t="str">
        <f>VLOOKUP(Filtro!F9,Comparacao!$G$7:$J$200,3,FALSE)</f>
        <v/>
      </c>
      <c r="I9" s="1" t="str">
        <f>VLOOKUP(Filtro!F9,Comparacao!$G$7:$J$200,4,FALSE)</f>
        <v/>
      </c>
    </row>
    <row r="10" spans="1:9" x14ac:dyDescent="0.25">
      <c r="A10" s="3" t="str">
        <f t="array" ref="A10">IFERROR(INDEX(Comparacao!$A$7:$A$200,SMALL(IF(Comparacao!$E$7:$E$200=$A$2,ROW(Comparacao!$A$7:$A$200)),ROW(6:6))-6,1),"")</f>
        <v/>
      </c>
      <c r="B10" s="3" t="str">
        <f>IFERROR(VLOOKUP(A10,Lista1[],2,FALSE),"")</f>
        <v/>
      </c>
      <c r="C10" s="1" t="str">
        <f>VLOOKUP(Filtro!A10,Comparacao!$A$7:$D$200,3,FALSE)</f>
        <v/>
      </c>
      <c r="D10" s="1" t="str">
        <f>VLOOKUP(Filtro!A10,Comparacao!$A$7:$D$200,4,FALSE)</f>
        <v/>
      </c>
      <c r="F10" t="str">
        <f t="array" ref="F10">IFERROR(INDEX(Comparacao!$G$7:$G$200,SMALL(IF(Comparacao!$K$7:$K$200=$A$2,ROW(Comparacao!$G$7:$G$200)),ROW(6:6))-6,1),"")</f>
        <v/>
      </c>
      <c r="G10" t="str">
        <f>IFERROR(VLOOKUP(F10,Lista2[],2,FALSE),"")</f>
        <v/>
      </c>
      <c r="H10" s="1" t="str">
        <f>VLOOKUP(Filtro!F10,Comparacao!$G$7:$J$200,3,FALSE)</f>
        <v/>
      </c>
      <c r="I10" s="1" t="str">
        <f>VLOOKUP(Filtro!F10,Comparacao!$G$7:$J$200,4,FALSE)</f>
        <v/>
      </c>
    </row>
    <row r="11" spans="1:9" x14ac:dyDescent="0.25">
      <c r="A11" s="3" t="str">
        <f t="array" ref="A11">IFERROR(INDEX(Comparacao!$A$7:$A$200,SMALL(IF(Comparacao!$E$7:$E$200=$A$2,ROW(Comparacao!$A$7:$A$200)),ROW(7:7))-6,1),"")</f>
        <v/>
      </c>
      <c r="B11" s="3" t="str">
        <f>IFERROR(VLOOKUP(A11,Lista1[],2,FALSE),"")</f>
        <v/>
      </c>
      <c r="C11" s="1" t="str">
        <f>VLOOKUP(Filtro!A11,Comparacao!$A$7:$D$200,3,FALSE)</f>
        <v/>
      </c>
      <c r="D11" s="1" t="str">
        <f>VLOOKUP(Filtro!A11,Comparacao!$A$7:$D$200,4,FALSE)</f>
        <v/>
      </c>
      <c r="F11" t="str">
        <f t="array" ref="F11">IFERROR(INDEX(Comparacao!$G$7:$G$200,SMALL(IF(Comparacao!$K$7:$K$200=$A$2,ROW(Comparacao!$G$7:$G$200)),ROW(7:7))-6,1),"")</f>
        <v/>
      </c>
      <c r="G11" t="str">
        <f>IFERROR(VLOOKUP(F11,Lista2[],2,FALSE),"")</f>
        <v/>
      </c>
      <c r="H11" s="1" t="str">
        <f>VLOOKUP(Filtro!F11,Comparacao!$G$7:$J$200,3,FALSE)</f>
        <v/>
      </c>
      <c r="I11" s="1" t="str">
        <f>VLOOKUP(Filtro!F11,Comparacao!$G$7:$J$200,4,FALSE)</f>
        <v/>
      </c>
    </row>
    <row r="12" spans="1:9" x14ac:dyDescent="0.25">
      <c r="A12" s="3" t="str">
        <f t="array" ref="A12">IFERROR(INDEX(Comparacao!$A$7:$A$200,SMALL(IF(Comparacao!$E$7:$E$200=$A$2,ROW(Comparacao!$A$7:$A$200)),ROW(8:8))-6,1),"")</f>
        <v/>
      </c>
      <c r="B12" s="3" t="str">
        <f>IFERROR(VLOOKUP(A12,Lista1[],2,FALSE),"")</f>
        <v/>
      </c>
      <c r="C12" s="1" t="str">
        <f>VLOOKUP(Filtro!A12,Comparacao!$A$7:$D$200,3,FALSE)</f>
        <v/>
      </c>
      <c r="D12" s="1" t="str">
        <f>VLOOKUP(Filtro!A12,Comparacao!$A$7:$D$200,4,FALSE)</f>
        <v/>
      </c>
      <c r="F12" t="str">
        <f t="array" ref="F12">IFERROR(INDEX(Comparacao!$G$7:$G$200,SMALL(IF(Comparacao!$K$7:$K$200=$A$2,ROW(Comparacao!$G$7:$G$200)),ROW(8:8))-6,1),"")</f>
        <v/>
      </c>
      <c r="G12" t="str">
        <f>IFERROR(VLOOKUP(F12,Lista2[],2,FALSE),"")</f>
        <v/>
      </c>
      <c r="H12" s="1" t="str">
        <f>VLOOKUP(Filtro!F12,Comparacao!$G$7:$J$200,3,FALSE)</f>
        <v/>
      </c>
      <c r="I12" s="1" t="str">
        <f>VLOOKUP(Filtro!F12,Comparacao!$G$7:$J$200,4,FALSE)</f>
        <v/>
      </c>
    </row>
    <row r="13" spans="1:9" x14ac:dyDescent="0.25">
      <c r="A13" s="3" t="str">
        <f t="array" ref="A13">IFERROR(INDEX(Comparacao!$A$7:$A$200,SMALL(IF(Comparacao!$E$7:$E$200=$A$2,ROW(Comparacao!$A$7:$A$200)),ROW(9:9))-6,1),"")</f>
        <v/>
      </c>
      <c r="B13" s="3" t="str">
        <f>IFERROR(VLOOKUP(A13,Lista1[],2,FALSE),"")</f>
        <v/>
      </c>
      <c r="C13" s="1" t="str">
        <f>VLOOKUP(Filtro!A13,Comparacao!$A$7:$D$200,3,FALSE)</f>
        <v/>
      </c>
      <c r="D13" s="1" t="str">
        <f>VLOOKUP(Filtro!A13,Comparacao!$A$7:$D$200,4,FALSE)</f>
        <v/>
      </c>
      <c r="F13" t="str">
        <f t="array" ref="F13">IFERROR(INDEX(Comparacao!$G$7:$G$200,SMALL(IF(Comparacao!$K$7:$K$200=$A$2,ROW(Comparacao!$G$7:$G$200)),ROW(9:9))-6,1),"")</f>
        <v/>
      </c>
      <c r="G13" t="str">
        <f>IFERROR(VLOOKUP(F13,Lista2[],2,FALSE),"")</f>
        <v/>
      </c>
      <c r="H13" s="1" t="str">
        <f>VLOOKUP(Filtro!F13,Comparacao!$G$7:$J$200,3,FALSE)</f>
        <v/>
      </c>
      <c r="I13" s="1" t="str">
        <f>VLOOKUP(Filtro!F13,Comparacao!$G$7:$J$200,4,FALSE)</f>
        <v/>
      </c>
    </row>
    <row r="14" spans="1:9" x14ac:dyDescent="0.25">
      <c r="A14" s="3" t="str">
        <f t="array" ref="A14">IFERROR(INDEX(Comparacao!$A$7:$A$200,SMALL(IF(Comparacao!$E$7:$E$200=$A$2,ROW(Comparacao!$A$7:$A$200)),ROW(10:10))-6,1),"")</f>
        <v/>
      </c>
      <c r="B14" s="3" t="str">
        <f>IFERROR(VLOOKUP(A14,Lista1[],2,FALSE),"")</f>
        <v/>
      </c>
      <c r="C14" s="1" t="str">
        <f>VLOOKUP(Filtro!A14,Comparacao!$A$7:$D$200,3,FALSE)</f>
        <v/>
      </c>
      <c r="D14" s="1" t="str">
        <f>VLOOKUP(Filtro!A14,Comparacao!$A$7:$D$200,4,FALSE)</f>
        <v/>
      </c>
      <c r="F14" t="str">
        <f t="array" ref="F14">IFERROR(INDEX(Comparacao!$G$7:$G$200,SMALL(IF(Comparacao!$K$7:$K$200=$A$2,ROW(Comparacao!$G$7:$G$200)),ROW(10:10))-6,1),"")</f>
        <v/>
      </c>
      <c r="G14" t="str">
        <f>IFERROR(VLOOKUP(F14,Lista2[],2,FALSE),"")</f>
        <v/>
      </c>
      <c r="H14" s="1" t="str">
        <f>VLOOKUP(Filtro!F14,Comparacao!$G$7:$J$200,3,FALSE)</f>
        <v/>
      </c>
      <c r="I14" s="1" t="str">
        <f>VLOOKUP(Filtro!F14,Comparacao!$G$7:$J$200,4,FALSE)</f>
        <v/>
      </c>
    </row>
    <row r="15" spans="1:9" x14ac:dyDescent="0.25">
      <c r="A15" s="3" t="str">
        <f t="array" ref="A15">IFERROR(INDEX(Comparacao!$A$7:$A$200,SMALL(IF(Comparacao!$E$7:$E$200=$A$2,ROW(Comparacao!$A$7:$A$200)),ROW(11:11))-6,1),"")</f>
        <v/>
      </c>
      <c r="B15" s="3" t="str">
        <f>IFERROR(VLOOKUP(A15,Lista1[],2,FALSE),"")</f>
        <v/>
      </c>
      <c r="C15" s="1" t="str">
        <f>VLOOKUP(Filtro!A15,Comparacao!$A$7:$D$200,3,FALSE)</f>
        <v/>
      </c>
      <c r="D15" s="1" t="str">
        <f>VLOOKUP(Filtro!A15,Comparacao!$A$7:$D$200,4,FALSE)</f>
        <v/>
      </c>
      <c r="F15" t="str">
        <f t="array" ref="F15">IFERROR(INDEX(Comparacao!$G$7:$G$200,SMALL(IF(Comparacao!$K$7:$K$200=$A$2,ROW(Comparacao!$G$7:$G$200)),ROW(11:11))-6,1),"")</f>
        <v/>
      </c>
      <c r="G15" t="str">
        <f>IFERROR(VLOOKUP(F15,Lista2[],2,FALSE),"")</f>
        <v/>
      </c>
      <c r="H15" s="1" t="str">
        <f>VLOOKUP(Filtro!F15,Comparacao!$G$7:$J$200,3,FALSE)</f>
        <v/>
      </c>
      <c r="I15" s="1" t="str">
        <f>VLOOKUP(Filtro!F15,Comparacao!$G$7:$J$200,4,FALSE)</f>
        <v/>
      </c>
    </row>
    <row r="16" spans="1:9" x14ac:dyDescent="0.25">
      <c r="A16" s="3" t="str">
        <f t="array" ref="A16">IFERROR(INDEX(Comparacao!$A$7:$A$200,SMALL(IF(Comparacao!$E$7:$E$200=$A$2,ROW(Comparacao!$A$7:$A$200)),ROW(12:12))-6,1),"")</f>
        <v/>
      </c>
      <c r="B16" s="3" t="str">
        <f>IFERROR(VLOOKUP(A16,Lista1[],2,FALSE),"")</f>
        <v/>
      </c>
      <c r="C16" s="1" t="str">
        <f>VLOOKUP(Filtro!A16,Comparacao!$A$7:$D$200,3,FALSE)</f>
        <v/>
      </c>
      <c r="D16" s="1" t="str">
        <f>VLOOKUP(Filtro!A16,Comparacao!$A$7:$D$200,4,FALSE)</f>
        <v/>
      </c>
      <c r="F16" t="str">
        <f t="array" ref="F16">IFERROR(INDEX(Comparacao!$G$7:$G$200,SMALL(IF(Comparacao!$K$7:$K$200=$A$2,ROW(Comparacao!$G$7:$G$200)),ROW(12:12))-6,1),"")</f>
        <v/>
      </c>
      <c r="G16" t="str">
        <f>IFERROR(VLOOKUP(F16,Lista2[],2,FALSE),"")</f>
        <v/>
      </c>
      <c r="H16" s="1" t="str">
        <f>VLOOKUP(Filtro!F16,Comparacao!$G$7:$J$200,3,FALSE)</f>
        <v/>
      </c>
      <c r="I16" s="1" t="str">
        <f>VLOOKUP(Filtro!F16,Comparacao!$G$7:$J$200,4,FALSE)</f>
        <v/>
      </c>
    </row>
    <row r="17" spans="1:9" x14ac:dyDescent="0.25">
      <c r="A17" s="3" t="str">
        <f t="array" ref="A17">IFERROR(INDEX(Comparacao!$A$7:$A$200,SMALL(IF(Comparacao!$E$7:$E$200=$A$2,ROW(Comparacao!$A$7:$A$200)),ROW(13:13))-6,1),"")</f>
        <v/>
      </c>
      <c r="B17" s="3" t="str">
        <f>IFERROR(VLOOKUP(A17,Lista1[],2,FALSE),"")</f>
        <v/>
      </c>
      <c r="C17" s="1" t="str">
        <f>VLOOKUP(Filtro!A17,Comparacao!$A$7:$D$200,3,FALSE)</f>
        <v/>
      </c>
      <c r="D17" s="1" t="str">
        <f>VLOOKUP(Filtro!A17,Comparacao!$A$7:$D$200,4,FALSE)</f>
        <v/>
      </c>
      <c r="F17" t="str">
        <f t="array" ref="F17">IFERROR(INDEX(Comparacao!$G$7:$G$200,SMALL(IF(Comparacao!$K$7:$K$200=$A$2,ROW(Comparacao!$G$7:$G$200)),ROW(13:13))-6,1),"")</f>
        <v/>
      </c>
      <c r="G17" t="str">
        <f>IFERROR(VLOOKUP(F17,Lista2[],2,FALSE),"")</f>
        <v/>
      </c>
      <c r="H17" s="1" t="str">
        <f>VLOOKUP(Filtro!F17,Comparacao!$G$7:$J$200,3,FALSE)</f>
        <v/>
      </c>
      <c r="I17" s="1" t="str">
        <f>VLOOKUP(Filtro!F17,Comparacao!$G$7:$J$200,4,FALSE)</f>
        <v/>
      </c>
    </row>
    <row r="18" spans="1:9" x14ac:dyDescent="0.25">
      <c r="A18" s="3" t="str">
        <f t="array" ref="A18">IFERROR(INDEX(Comparacao!$A$7:$A$200,SMALL(IF(Comparacao!$E$7:$E$200=$A$2,ROW(Comparacao!$A$7:$A$200)),ROW(14:14))-6,1),"")</f>
        <v/>
      </c>
      <c r="B18" s="3" t="str">
        <f>IFERROR(VLOOKUP(A18,Lista1[],2,FALSE),"")</f>
        <v/>
      </c>
      <c r="C18" s="1" t="str">
        <f>VLOOKUP(Filtro!A18,Comparacao!$A$7:$D$200,3,FALSE)</f>
        <v/>
      </c>
      <c r="D18" s="1" t="str">
        <f>VLOOKUP(Filtro!A18,Comparacao!$A$7:$D$200,4,FALSE)</f>
        <v/>
      </c>
      <c r="F18" t="str">
        <f t="array" ref="F18">IFERROR(INDEX(Comparacao!$G$7:$G$200,SMALL(IF(Comparacao!$K$7:$K$200=$A$2,ROW(Comparacao!$G$7:$G$200)),ROW(14:14))-6,1),"")</f>
        <v/>
      </c>
      <c r="G18" t="str">
        <f>IFERROR(VLOOKUP(F18,Lista2[],2,FALSE),"")</f>
        <v/>
      </c>
      <c r="H18" s="1" t="str">
        <f>VLOOKUP(Filtro!F18,Comparacao!$G$7:$J$200,3,FALSE)</f>
        <v/>
      </c>
      <c r="I18" s="1" t="str">
        <f>VLOOKUP(Filtro!F18,Comparacao!$G$7:$J$200,4,FALSE)</f>
        <v/>
      </c>
    </row>
    <row r="19" spans="1:9" x14ac:dyDescent="0.25">
      <c r="A19" s="3" t="str">
        <f t="array" ref="A19">IFERROR(INDEX(Comparacao!$A$7:$A$200,SMALL(IF(Comparacao!$E$7:$E$200=$A$2,ROW(Comparacao!$A$7:$A$200)),ROW(15:15))-6,1),"")</f>
        <v/>
      </c>
      <c r="B19" s="3" t="str">
        <f>IFERROR(VLOOKUP(A19,Lista1[],2,FALSE),"")</f>
        <v/>
      </c>
      <c r="C19" s="1" t="str">
        <f>VLOOKUP(Filtro!A19,Comparacao!$A$7:$D$200,3,FALSE)</f>
        <v/>
      </c>
      <c r="D19" s="1" t="str">
        <f>VLOOKUP(Filtro!A19,Comparacao!$A$7:$D$200,4,FALSE)</f>
        <v/>
      </c>
      <c r="F19" t="str">
        <f t="array" ref="F19">IFERROR(INDEX(Comparacao!$G$7:$G$200,SMALL(IF(Comparacao!$K$7:$K$200=$A$2,ROW(Comparacao!$G$7:$G$200)),ROW(15:15))-6,1),"")</f>
        <v/>
      </c>
      <c r="G19" t="str">
        <f>IFERROR(VLOOKUP(F19,Lista2[],2,FALSE),"")</f>
        <v/>
      </c>
      <c r="H19" s="1" t="str">
        <f>VLOOKUP(Filtro!F19,Comparacao!$G$7:$J$200,3,FALSE)</f>
        <v/>
      </c>
      <c r="I19" s="1" t="str">
        <f>VLOOKUP(Filtro!F19,Comparacao!$G$7:$J$200,4,FALSE)</f>
        <v/>
      </c>
    </row>
    <row r="20" spans="1:9" x14ac:dyDescent="0.25">
      <c r="A20" s="3" t="str">
        <f t="array" ref="A20">IFERROR(INDEX(Comparacao!$A$7:$A$200,SMALL(IF(Comparacao!$E$7:$E$200=$A$2,ROW(Comparacao!$A$7:$A$200)),ROW(16:16))-6,1),"")</f>
        <v/>
      </c>
      <c r="B20" s="3" t="str">
        <f>IFERROR(VLOOKUP(A20,Lista1[],2,FALSE),"")</f>
        <v/>
      </c>
      <c r="C20" s="1" t="str">
        <f>VLOOKUP(Filtro!A20,Comparacao!$A$7:$D$200,3,FALSE)</f>
        <v/>
      </c>
      <c r="D20" s="1" t="str">
        <f>VLOOKUP(Filtro!A20,Comparacao!$A$7:$D$200,4,FALSE)</f>
        <v/>
      </c>
      <c r="F20" t="str">
        <f t="array" ref="F20">IFERROR(INDEX(Comparacao!$G$7:$G$200,SMALL(IF(Comparacao!$K$7:$K$200=$A$2,ROW(Comparacao!$G$7:$G$200)),ROW(16:16))-6,1),"")</f>
        <v/>
      </c>
      <c r="G20" t="str">
        <f>IFERROR(VLOOKUP(F20,Lista2[],2,FALSE),"")</f>
        <v/>
      </c>
      <c r="H20" s="1" t="str">
        <f>VLOOKUP(Filtro!F20,Comparacao!$G$7:$J$200,3,FALSE)</f>
        <v/>
      </c>
      <c r="I20" s="1" t="str">
        <f>VLOOKUP(Filtro!F20,Comparacao!$G$7:$J$200,4,FALSE)</f>
        <v/>
      </c>
    </row>
    <row r="21" spans="1:9" x14ac:dyDescent="0.25">
      <c r="A21" s="3" t="str">
        <f t="array" ref="A21">IFERROR(INDEX(Comparacao!$A$7:$A$200,SMALL(IF(Comparacao!$E$7:$E$200=$A$2,ROW(Comparacao!$A$7:$A$200)),ROW(17:17))-6,1),"")</f>
        <v/>
      </c>
      <c r="B21" s="3" t="str">
        <f>IFERROR(VLOOKUP(A21,Lista1[],2,FALSE),"")</f>
        <v/>
      </c>
      <c r="C21" s="1" t="str">
        <f>VLOOKUP(Filtro!A21,Comparacao!$A$7:$D$200,3,FALSE)</f>
        <v/>
      </c>
      <c r="D21" s="1" t="str">
        <f>VLOOKUP(Filtro!A21,Comparacao!$A$7:$D$200,4,FALSE)</f>
        <v/>
      </c>
      <c r="F21" t="str">
        <f t="array" ref="F21">IFERROR(INDEX(Comparacao!$G$7:$G$200,SMALL(IF(Comparacao!$K$7:$K$200=$A$2,ROW(Comparacao!$G$7:$G$200)),ROW(17:17))-6,1),"")</f>
        <v/>
      </c>
      <c r="G21" t="str">
        <f>IFERROR(VLOOKUP(F21,Lista2[],2,FALSE),"")</f>
        <v/>
      </c>
      <c r="H21" s="1" t="str">
        <f>VLOOKUP(Filtro!F21,Comparacao!$G$7:$J$200,3,FALSE)</f>
        <v/>
      </c>
      <c r="I21" s="1" t="str">
        <f>VLOOKUP(Filtro!F21,Comparacao!$G$7:$J$200,4,FALSE)</f>
        <v/>
      </c>
    </row>
    <row r="22" spans="1:9" x14ac:dyDescent="0.25">
      <c r="A22" s="3" t="str">
        <f t="array" ref="A22">IFERROR(INDEX(Comparacao!$A$7:$A$200,SMALL(IF(Comparacao!$E$7:$E$200=$A$2,ROW(Comparacao!$A$7:$A$200)),ROW(18:18))-6,1),"")</f>
        <v/>
      </c>
      <c r="B22" s="3" t="str">
        <f>IFERROR(VLOOKUP(A22,Lista1[],2,FALSE),"")</f>
        <v/>
      </c>
      <c r="C22" s="1" t="str">
        <f>VLOOKUP(Filtro!A22,Comparacao!$A$7:$D$200,3,FALSE)</f>
        <v/>
      </c>
      <c r="D22" s="1" t="str">
        <f>VLOOKUP(Filtro!A22,Comparacao!$A$7:$D$200,4,FALSE)</f>
        <v/>
      </c>
      <c r="F22" t="str">
        <f t="array" ref="F22">IFERROR(INDEX(Comparacao!$G$7:$G$200,SMALL(IF(Comparacao!$K$7:$K$200=$A$2,ROW(Comparacao!$G$7:$G$200)),ROW(18:18))-6,1),"")</f>
        <v/>
      </c>
      <c r="G22" t="str">
        <f>IFERROR(VLOOKUP(F22,Lista2[],2,FALSE),"")</f>
        <v/>
      </c>
      <c r="H22" s="1" t="str">
        <f>VLOOKUP(Filtro!F22,Comparacao!$G$7:$J$200,3,FALSE)</f>
        <v/>
      </c>
      <c r="I22" s="1" t="str">
        <f>VLOOKUP(Filtro!F22,Comparacao!$G$7:$J$200,4,FALSE)</f>
        <v/>
      </c>
    </row>
    <row r="23" spans="1:9" x14ac:dyDescent="0.25">
      <c r="A23" s="3" t="str">
        <f t="array" ref="A23">IFERROR(INDEX(Comparacao!$A$7:$A$200,SMALL(IF(Comparacao!$E$7:$E$200=$A$2,ROW(Comparacao!$A$7:$A$200)),ROW(19:19))-6,1),"")</f>
        <v/>
      </c>
      <c r="B23" s="3" t="str">
        <f>IFERROR(VLOOKUP(A23,Lista1[],2,FALSE),"")</f>
        <v/>
      </c>
      <c r="C23" s="1" t="str">
        <f>VLOOKUP(Filtro!A23,Comparacao!$A$7:$D$200,3,FALSE)</f>
        <v/>
      </c>
      <c r="D23" s="1" t="str">
        <f>VLOOKUP(Filtro!A23,Comparacao!$A$7:$D$200,4,FALSE)</f>
        <v/>
      </c>
      <c r="F23" t="str">
        <f t="array" ref="F23">IFERROR(INDEX(Comparacao!$G$7:$G$200,SMALL(IF(Comparacao!$K$7:$K$200=$A$2,ROW(Comparacao!$G$7:$G$200)),ROW(19:19))-6,1),"")</f>
        <v/>
      </c>
      <c r="G23" t="str">
        <f>IFERROR(VLOOKUP(F23,Lista2[],2,FALSE),"")</f>
        <v/>
      </c>
      <c r="H23" s="1" t="str">
        <f>VLOOKUP(Filtro!F23,Comparacao!$G$7:$J$200,3,FALSE)</f>
        <v/>
      </c>
      <c r="I23" s="1" t="str">
        <f>VLOOKUP(Filtro!F23,Comparacao!$G$7:$J$200,4,FALSE)</f>
        <v/>
      </c>
    </row>
    <row r="24" spans="1:9" x14ac:dyDescent="0.25">
      <c r="A24" s="3" t="str">
        <f t="array" ref="A24">IFERROR(INDEX(Comparacao!$A$7:$A$200,SMALL(IF(Comparacao!$E$7:$E$200=$A$2,ROW(Comparacao!$A$7:$A$200)),ROW(20:20))-6,1),"")</f>
        <v/>
      </c>
      <c r="B24" s="3" t="str">
        <f>IFERROR(VLOOKUP(A24,Lista1[],2,FALSE),"")</f>
        <v/>
      </c>
      <c r="C24" s="1" t="str">
        <f>VLOOKUP(Filtro!A24,Comparacao!$A$7:$D$200,3,FALSE)</f>
        <v/>
      </c>
      <c r="D24" s="1" t="str">
        <f>VLOOKUP(Filtro!A24,Comparacao!$A$7:$D$200,4,FALSE)</f>
        <v/>
      </c>
      <c r="F24" t="str">
        <f t="array" ref="F24">IFERROR(INDEX(Comparacao!$G$7:$G$200,SMALL(IF(Comparacao!$K$7:$K$200=$A$2,ROW(Comparacao!$G$7:$G$200)),ROW(20:20))-6,1),"")</f>
        <v/>
      </c>
      <c r="G24" t="str">
        <f>IFERROR(VLOOKUP(F24,Lista2[],2,FALSE),"")</f>
        <v/>
      </c>
      <c r="H24" s="1" t="str">
        <f>VLOOKUP(Filtro!F24,Comparacao!$G$7:$J$200,3,FALSE)</f>
        <v/>
      </c>
      <c r="I24" s="1" t="str">
        <f>VLOOKUP(Filtro!F24,Comparacao!$G$7:$J$200,4,FALSE)</f>
        <v/>
      </c>
    </row>
    <row r="25" spans="1:9" x14ac:dyDescent="0.25">
      <c r="A25" s="3" t="str">
        <f t="array" ref="A25">IFERROR(INDEX(Comparacao!$A$7:$A$200,SMALL(IF(Comparacao!$E$7:$E$200=$A$2,ROW(Comparacao!$A$7:$A$200)),ROW(21:21))-6,1),"")</f>
        <v/>
      </c>
      <c r="B25" s="3" t="str">
        <f>IFERROR(VLOOKUP(A25,Lista1[],2,FALSE),"")</f>
        <v/>
      </c>
      <c r="C25" s="1" t="str">
        <f>VLOOKUP(Filtro!A25,Comparacao!$A$7:$D$200,3,FALSE)</f>
        <v/>
      </c>
      <c r="D25" s="1" t="str">
        <f>VLOOKUP(Filtro!A25,Comparacao!$A$7:$D$200,4,FALSE)</f>
        <v/>
      </c>
      <c r="F25" t="str">
        <f t="array" ref="F25">IFERROR(INDEX(Comparacao!$G$7:$G$200,SMALL(IF(Comparacao!$K$7:$K$200=$A$2,ROW(Comparacao!$G$7:$G$200)),ROW(21:21))-6,1),"")</f>
        <v/>
      </c>
      <c r="G25" t="str">
        <f>IFERROR(VLOOKUP(F25,Lista2[],2,FALSE),"")</f>
        <v/>
      </c>
      <c r="H25" s="1" t="str">
        <f>VLOOKUP(Filtro!F25,Comparacao!$G$7:$J$200,3,FALSE)</f>
        <v/>
      </c>
      <c r="I25" s="1" t="str">
        <f>VLOOKUP(Filtro!F25,Comparacao!$G$7:$J$200,4,FALSE)</f>
        <v/>
      </c>
    </row>
    <row r="26" spans="1:9" x14ac:dyDescent="0.25">
      <c r="A26" s="3" t="str">
        <f t="array" ref="A26">IFERROR(INDEX(Comparacao!$A$7:$A$200,SMALL(IF(Comparacao!$E$7:$E$200=$A$2,ROW(Comparacao!$A$7:$A$200)),ROW(22:22))-6,1),"")</f>
        <v/>
      </c>
      <c r="B26" s="3" t="str">
        <f>IFERROR(VLOOKUP(A26,Lista1[],2,FALSE),"")</f>
        <v/>
      </c>
      <c r="C26" s="1" t="str">
        <f>VLOOKUP(Filtro!A26,Comparacao!$A$7:$D$200,3,FALSE)</f>
        <v/>
      </c>
      <c r="D26" s="1" t="str">
        <f>VLOOKUP(Filtro!A26,Comparacao!$A$7:$D$200,4,FALSE)</f>
        <v/>
      </c>
      <c r="F26" t="str">
        <f t="array" ref="F26">IFERROR(INDEX(Comparacao!$G$7:$G$200,SMALL(IF(Comparacao!$K$7:$K$200=$A$2,ROW(Comparacao!$G$7:$G$200)),ROW(22:22))-6,1),"")</f>
        <v/>
      </c>
      <c r="G26" t="str">
        <f>IFERROR(VLOOKUP(F26,Lista2[],2,FALSE),"")</f>
        <v/>
      </c>
      <c r="H26" s="1" t="str">
        <f>VLOOKUP(Filtro!F26,Comparacao!$G$7:$J$200,3,FALSE)</f>
        <v/>
      </c>
      <c r="I26" s="1" t="str">
        <f>VLOOKUP(Filtro!F26,Comparacao!$G$7:$J$200,4,FALSE)</f>
        <v/>
      </c>
    </row>
    <row r="27" spans="1:9" x14ac:dyDescent="0.25">
      <c r="A27" s="3" t="str">
        <f t="array" ref="A27">IFERROR(INDEX(Comparacao!$A$7:$A$200,SMALL(IF(Comparacao!$E$7:$E$200=$A$2,ROW(Comparacao!$A$7:$A$200)),ROW(23:23))-6,1),"")</f>
        <v/>
      </c>
      <c r="B27" s="3" t="str">
        <f>IFERROR(VLOOKUP(A27,Lista1[],2,FALSE),"")</f>
        <v/>
      </c>
      <c r="C27" s="1" t="str">
        <f>VLOOKUP(Filtro!A27,Comparacao!$A$7:$D$200,3,FALSE)</f>
        <v/>
      </c>
      <c r="D27" s="1" t="str">
        <f>VLOOKUP(Filtro!A27,Comparacao!$A$7:$D$200,4,FALSE)</f>
        <v/>
      </c>
      <c r="F27" t="str">
        <f t="array" ref="F27">IFERROR(INDEX(Comparacao!$G$7:$G$200,SMALL(IF(Comparacao!$K$7:$K$200=$A$2,ROW(Comparacao!$G$7:$G$200)),ROW(23:23))-6,1),"")</f>
        <v/>
      </c>
      <c r="G27" t="str">
        <f>IFERROR(VLOOKUP(F27,Lista2[],2,FALSE),"")</f>
        <v/>
      </c>
      <c r="H27" s="1" t="str">
        <f>VLOOKUP(Filtro!F27,Comparacao!$G$7:$J$200,3,FALSE)</f>
        <v/>
      </c>
      <c r="I27" s="1" t="str">
        <f>VLOOKUP(Filtro!F27,Comparacao!$G$7:$J$200,4,FALSE)</f>
        <v/>
      </c>
    </row>
    <row r="28" spans="1:9" x14ac:dyDescent="0.25">
      <c r="A28" s="3" t="str">
        <f t="array" ref="A28">IFERROR(INDEX(Comparacao!$A$7:$A$200,SMALL(IF(Comparacao!$E$7:$E$200=$A$2,ROW(Comparacao!$A$7:$A$200)),ROW(24:24))-6,1),"")</f>
        <v/>
      </c>
      <c r="B28" s="3" t="str">
        <f>IFERROR(VLOOKUP(A28,Lista1[],2,FALSE),"")</f>
        <v/>
      </c>
      <c r="C28" s="1" t="str">
        <f>VLOOKUP(Filtro!A28,Comparacao!$A$7:$D$200,3,FALSE)</f>
        <v/>
      </c>
      <c r="D28" s="1" t="str">
        <f>VLOOKUP(Filtro!A28,Comparacao!$A$7:$D$200,4,FALSE)</f>
        <v/>
      </c>
      <c r="F28" t="str">
        <f t="array" ref="F28">IFERROR(INDEX(Comparacao!$G$7:$G$200,SMALL(IF(Comparacao!$K$7:$K$200=$A$2,ROW(Comparacao!$G$7:$G$200)),ROW(24:24))-6,1),"")</f>
        <v/>
      </c>
      <c r="G28" t="str">
        <f>IFERROR(VLOOKUP(F28,Lista2[],2,FALSE),"")</f>
        <v/>
      </c>
      <c r="H28" s="1" t="str">
        <f>VLOOKUP(Filtro!F28,Comparacao!$G$7:$J$200,3,FALSE)</f>
        <v/>
      </c>
      <c r="I28" s="1" t="str">
        <f>VLOOKUP(Filtro!F28,Comparacao!$G$7:$J$200,4,FALSE)</f>
        <v/>
      </c>
    </row>
    <row r="29" spans="1:9" x14ac:dyDescent="0.25">
      <c r="A29" s="3" t="str">
        <f t="array" ref="A29">IFERROR(INDEX(Comparacao!$A$7:$A$200,SMALL(IF(Comparacao!$E$7:$E$200=$A$2,ROW(Comparacao!$A$7:$A$200)),ROW(25:25))-6,1),"")</f>
        <v/>
      </c>
      <c r="B29" s="3" t="str">
        <f>IFERROR(VLOOKUP(A29,Lista1[],2,FALSE),"")</f>
        <v/>
      </c>
      <c r="C29" s="1" t="str">
        <f>VLOOKUP(Filtro!A29,Comparacao!$A$7:$D$200,3,FALSE)</f>
        <v/>
      </c>
      <c r="D29" s="1" t="str">
        <f>VLOOKUP(Filtro!A29,Comparacao!$A$7:$D$200,4,FALSE)</f>
        <v/>
      </c>
      <c r="F29" t="str">
        <f t="array" ref="F29">IFERROR(INDEX(Comparacao!$G$7:$G$200,SMALL(IF(Comparacao!$K$7:$K$200=$A$2,ROW(Comparacao!$G$7:$G$200)),ROW(25:25))-6,1),"")</f>
        <v/>
      </c>
      <c r="G29" t="str">
        <f>IFERROR(VLOOKUP(F29,Lista2[],2,FALSE),"")</f>
        <v/>
      </c>
      <c r="H29" s="1" t="str">
        <f>VLOOKUP(Filtro!F29,Comparacao!$G$7:$J$200,3,FALSE)</f>
        <v/>
      </c>
      <c r="I29" s="1" t="str">
        <f>VLOOKUP(Filtro!F29,Comparacao!$G$7:$J$200,4,FALSE)</f>
        <v/>
      </c>
    </row>
    <row r="30" spans="1:9" x14ac:dyDescent="0.25">
      <c r="A30" s="3" t="str">
        <f t="array" ref="A30">IFERROR(INDEX(Comparacao!$A$7:$A$200,SMALL(IF(Comparacao!$E$7:$E$200=$A$2,ROW(Comparacao!$A$7:$A$200)),ROW(26:26))-6,1),"")</f>
        <v/>
      </c>
      <c r="B30" s="3" t="str">
        <f>IFERROR(VLOOKUP(A30,Lista1[],2,FALSE),"")</f>
        <v/>
      </c>
      <c r="C30" s="1" t="str">
        <f>VLOOKUP(Filtro!A30,Comparacao!$A$7:$D$200,3,FALSE)</f>
        <v/>
      </c>
      <c r="D30" s="1" t="str">
        <f>VLOOKUP(Filtro!A30,Comparacao!$A$7:$D$200,4,FALSE)</f>
        <v/>
      </c>
      <c r="F30" t="str">
        <f t="array" ref="F30">IFERROR(INDEX(Comparacao!$G$7:$G$200,SMALL(IF(Comparacao!$K$7:$K$200=$A$2,ROW(Comparacao!$G$7:$G$200)),ROW(26:26))-6,1),"")</f>
        <v/>
      </c>
      <c r="G30" t="str">
        <f>IFERROR(VLOOKUP(F30,Lista2[],2,FALSE),"")</f>
        <v/>
      </c>
      <c r="H30" s="1" t="str">
        <f>VLOOKUP(Filtro!F30,Comparacao!$G$7:$J$200,3,FALSE)</f>
        <v/>
      </c>
      <c r="I30" s="1" t="str">
        <f>VLOOKUP(Filtro!F30,Comparacao!$G$7:$J$200,4,FALSE)</f>
        <v/>
      </c>
    </row>
    <row r="31" spans="1:9" x14ac:dyDescent="0.25">
      <c r="A31" s="3" t="str">
        <f t="array" ref="A31">IFERROR(INDEX(Comparacao!$A$7:$A$200,SMALL(IF(Comparacao!$E$7:$E$200=$A$2,ROW(Comparacao!$A$7:$A$200)),ROW(27:27))-6,1),"")</f>
        <v/>
      </c>
      <c r="B31" s="3" t="str">
        <f>IFERROR(VLOOKUP(A31,Lista1[],2,FALSE),"")</f>
        <v/>
      </c>
      <c r="C31" s="1" t="str">
        <f>VLOOKUP(Filtro!A31,Comparacao!$A$7:$D$200,3,FALSE)</f>
        <v/>
      </c>
      <c r="D31" s="1" t="str">
        <f>VLOOKUP(Filtro!A31,Comparacao!$A$7:$D$200,4,FALSE)</f>
        <v/>
      </c>
      <c r="F31" t="str">
        <f t="array" ref="F31">IFERROR(INDEX(Comparacao!$G$7:$G$200,SMALL(IF(Comparacao!$K$7:$K$200=$A$2,ROW(Comparacao!$G$7:$G$200)),ROW(27:27))-6,1),"")</f>
        <v/>
      </c>
      <c r="G31" t="str">
        <f>IFERROR(VLOOKUP(F31,Lista2[],2,FALSE),"")</f>
        <v/>
      </c>
      <c r="H31" s="1" t="str">
        <f>VLOOKUP(Filtro!F31,Comparacao!$G$7:$J$200,3,FALSE)</f>
        <v/>
      </c>
      <c r="I31" s="1" t="str">
        <f>VLOOKUP(Filtro!F31,Comparacao!$G$7:$J$200,4,FALSE)</f>
        <v/>
      </c>
    </row>
    <row r="32" spans="1:9" x14ac:dyDescent="0.25">
      <c r="A32" s="3" t="str">
        <f t="array" ref="A32">IFERROR(INDEX(Comparacao!$A$7:$A$200,SMALL(IF(Comparacao!$E$7:$E$200=$A$2,ROW(Comparacao!$A$7:$A$200)),ROW(28:28))-6,1),"")</f>
        <v/>
      </c>
      <c r="B32" s="3" t="str">
        <f>IFERROR(VLOOKUP(A32,Lista1[],2,FALSE),"")</f>
        <v/>
      </c>
      <c r="C32" s="1" t="str">
        <f>VLOOKUP(Filtro!A32,Comparacao!$A$7:$D$200,3,FALSE)</f>
        <v/>
      </c>
      <c r="D32" s="1" t="str">
        <f>VLOOKUP(Filtro!A32,Comparacao!$A$7:$D$200,4,FALSE)</f>
        <v/>
      </c>
      <c r="F32" t="str">
        <f t="array" ref="F32">IFERROR(INDEX(Comparacao!$G$7:$G$200,SMALL(IF(Comparacao!$K$7:$K$200=$A$2,ROW(Comparacao!$G$7:$G$200)),ROW(28:28))-6,1),"")</f>
        <v/>
      </c>
      <c r="G32" t="str">
        <f>IFERROR(VLOOKUP(F32,Lista2[],2,FALSE),"")</f>
        <v/>
      </c>
      <c r="H32" s="1" t="str">
        <f>VLOOKUP(Filtro!F32,Comparacao!$G$7:$J$200,3,FALSE)</f>
        <v/>
      </c>
      <c r="I32" s="1" t="str">
        <f>VLOOKUP(Filtro!F32,Comparacao!$G$7:$J$200,4,FALSE)</f>
        <v/>
      </c>
    </row>
    <row r="33" spans="1:9" x14ac:dyDescent="0.25">
      <c r="A33" s="3" t="str">
        <f t="array" ref="A33">IFERROR(INDEX(Comparacao!$A$7:$A$200,SMALL(IF(Comparacao!$E$7:$E$200=$A$2,ROW(Comparacao!$A$7:$A$200)),ROW(29:29))-6,1),"")</f>
        <v/>
      </c>
      <c r="B33" s="3" t="str">
        <f>IFERROR(VLOOKUP(A33,Lista1[],2,FALSE),"")</f>
        <v/>
      </c>
      <c r="C33" s="1" t="str">
        <f>VLOOKUP(Filtro!A33,Comparacao!$A$7:$D$200,3,FALSE)</f>
        <v/>
      </c>
      <c r="D33" s="1" t="str">
        <f>VLOOKUP(Filtro!A33,Comparacao!$A$7:$D$200,4,FALSE)</f>
        <v/>
      </c>
      <c r="F33" t="str">
        <f t="array" ref="F33">IFERROR(INDEX(Comparacao!$G$7:$G$200,SMALL(IF(Comparacao!$K$7:$K$200=$A$2,ROW(Comparacao!$G$7:$G$200)),ROW(29:29))-6,1),"")</f>
        <v/>
      </c>
      <c r="G33" t="str">
        <f>IFERROR(VLOOKUP(F33,Lista2[],2,FALSE),"")</f>
        <v/>
      </c>
      <c r="H33" s="1" t="str">
        <f>VLOOKUP(Filtro!F33,Comparacao!$G$7:$J$200,3,FALSE)</f>
        <v/>
      </c>
      <c r="I33" s="1" t="str">
        <f>VLOOKUP(Filtro!F33,Comparacao!$G$7:$J$200,4,FALSE)</f>
        <v/>
      </c>
    </row>
    <row r="34" spans="1:9" x14ac:dyDescent="0.25">
      <c r="A34" s="3" t="str">
        <f t="array" ref="A34">IFERROR(INDEX(Comparacao!$A$7:$A$200,SMALL(IF(Comparacao!$E$7:$E$200=$A$2,ROW(Comparacao!$A$7:$A$200)),ROW(30:30))-6,1),"")</f>
        <v/>
      </c>
      <c r="B34" s="3" t="str">
        <f>IFERROR(VLOOKUP(A34,Lista1[],2,FALSE),"")</f>
        <v/>
      </c>
      <c r="C34" s="1" t="str">
        <f>VLOOKUP(Filtro!A34,Comparacao!$A$7:$D$200,3,FALSE)</f>
        <v/>
      </c>
      <c r="D34" s="1" t="str">
        <f>VLOOKUP(Filtro!A34,Comparacao!$A$7:$D$200,4,FALSE)</f>
        <v/>
      </c>
      <c r="F34" t="str">
        <f t="array" ref="F34">IFERROR(INDEX(Comparacao!$G$7:$G$200,SMALL(IF(Comparacao!$K$7:$K$200=$A$2,ROW(Comparacao!$G$7:$G$200)),ROW(30:30))-6,1),"")</f>
        <v/>
      </c>
      <c r="G34" t="str">
        <f>IFERROR(VLOOKUP(F34,Lista2[],2,FALSE),"")</f>
        <v/>
      </c>
      <c r="H34" s="1" t="str">
        <f>VLOOKUP(Filtro!F34,Comparacao!$G$7:$J$200,3,FALSE)</f>
        <v/>
      </c>
      <c r="I34" s="1" t="str">
        <f>VLOOKUP(Filtro!F34,Comparacao!$G$7:$J$200,4,FALSE)</f>
        <v/>
      </c>
    </row>
    <row r="35" spans="1:9" x14ac:dyDescent="0.25">
      <c r="A35" s="3" t="str">
        <f t="array" ref="A35">IFERROR(INDEX(Comparacao!$A$7:$A$200,SMALL(IF(Comparacao!$E$7:$E$200=$A$2,ROW(Comparacao!$A$7:$A$200)),ROW(31:31))-6,1),"")</f>
        <v/>
      </c>
      <c r="B35" s="3" t="str">
        <f>IFERROR(VLOOKUP(A35,Lista1[],2,FALSE),"")</f>
        <v/>
      </c>
      <c r="C35" s="1" t="str">
        <f>VLOOKUP(Filtro!A35,Comparacao!$A$7:$D$200,3,FALSE)</f>
        <v/>
      </c>
      <c r="D35" s="1" t="str">
        <f>VLOOKUP(Filtro!A35,Comparacao!$A$7:$D$200,4,FALSE)</f>
        <v/>
      </c>
      <c r="F35" t="str">
        <f t="array" ref="F35">IFERROR(INDEX(Comparacao!$G$7:$G$200,SMALL(IF(Comparacao!$K$7:$K$200=$A$2,ROW(Comparacao!$G$7:$G$200)),ROW(31:31))-6,1),"")</f>
        <v/>
      </c>
      <c r="G35" t="str">
        <f>IFERROR(VLOOKUP(F35,Lista2[],2,FALSE),"")</f>
        <v/>
      </c>
      <c r="H35" s="1" t="str">
        <f>VLOOKUP(Filtro!F35,Comparacao!$G$7:$J$200,3,FALSE)</f>
        <v/>
      </c>
      <c r="I35" s="1" t="str">
        <f>VLOOKUP(Filtro!F35,Comparacao!$G$7:$J$200,4,FALSE)</f>
        <v/>
      </c>
    </row>
    <row r="36" spans="1:9" x14ac:dyDescent="0.25">
      <c r="A36" s="3" t="str">
        <f t="array" ref="A36">IFERROR(INDEX(Comparacao!$A$7:$A$200,SMALL(IF(Comparacao!$E$7:$E$200=$A$2,ROW(Comparacao!$A$7:$A$200)),ROW(32:32))-6,1),"")</f>
        <v/>
      </c>
      <c r="B36" s="3" t="str">
        <f>IFERROR(VLOOKUP(A36,Lista1[],2,FALSE),"")</f>
        <v/>
      </c>
      <c r="C36" s="1" t="str">
        <f>VLOOKUP(Filtro!A36,Comparacao!$A$7:$D$200,3,FALSE)</f>
        <v/>
      </c>
      <c r="D36" s="1" t="str">
        <f>VLOOKUP(Filtro!A36,Comparacao!$A$7:$D$200,4,FALSE)</f>
        <v/>
      </c>
      <c r="F36" t="str">
        <f t="array" ref="F36">IFERROR(INDEX(Comparacao!$G$7:$G$200,SMALL(IF(Comparacao!$K$7:$K$200=$A$2,ROW(Comparacao!$G$7:$G$200)),ROW(32:32))-6,1),"")</f>
        <v/>
      </c>
      <c r="G36" t="str">
        <f>IFERROR(VLOOKUP(F36,Lista2[],2,FALSE),"")</f>
        <v/>
      </c>
      <c r="H36" s="1" t="str">
        <f>VLOOKUP(Filtro!F36,Comparacao!$G$7:$J$200,3,FALSE)</f>
        <v/>
      </c>
      <c r="I36" s="1" t="str">
        <f>VLOOKUP(Filtro!F36,Comparacao!$G$7:$J$200,4,FALSE)</f>
        <v/>
      </c>
    </row>
    <row r="37" spans="1:9" x14ac:dyDescent="0.25">
      <c r="A37" s="3" t="str">
        <f t="array" ref="A37">IFERROR(INDEX(Comparacao!$A$7:$A$200,SMALL(IF(Comparacao!$E$7:$E$200=$A$2,ROW(Comparacao!$A$7:$A$200)),ROW(33:33))-6,1),"")</f>
        <v/>
      </c>
      <c r="B37" s="3" t="str">
        <f>IFERROR(VLOOKUP(A37,Lista1[],2,FALSE),"")</f>
        <v/>
      </c>
      <c r="C37" s="1" t="str">
        <f>VLOOKUP(Filtro!A37,Comparacao!$A$7:$D$200,3,FALSE)</f>
        <v/>
      </c>
      <c r="D37" s="1" t="str">
        <f>VLOOKUP(Filtro!A37,Comparacao!$A$7:$D$200,4,FALSE)</f>
        <v/>
      </c>
      <c r="F37" t="str">
        <f t="array" ref="F37">IFERROR(INDEX(Comparacao!$G$7:$G$200,SMALL(IF(Comparacao!$K$7:$K$200=$A$2,ROW(Comparacao!$G$7:$G$200)),ROW(33:33))-6,1),"")</f>
        <v/>
      </c>
      <c r="G37" t="str">
        <f>IFERROR(VLOOKUP(F37,Lista2[],2,FALSE),"")</f>
        <v/>
      </c>
      <c r="H37" s="1" t="str">
        <f>VLOOKUP(Filtro!F37,Comparacao!$G$7:$J$200,3,FALSE)</f>
        <v/>
      </c>
      <c r="I37" s="1" t="str">
        <f>VLOOKUP(Filtro!F37,Comparacao!$G$7:$J$200,4,FALSE)</f>
        <v/>
      </c>
    </row>
    <row r="38" spans="1:9" x14ac:dyDescent="0.25">
      <c r="A38" s="3" t="str">
        <f t="array" ref="A38">IFERROR(INDEX(Comparacao!$A$7:$A$200,SMALL(IF(Comparacao!$E$7:$E$200=$A$2,ROW(Comparacao!$A$7:$A$200)),ROW(34:34))-6,1),"")</f>
        <v/>
      </c>
      <c r="B38" s="3" t="str">
        <f>IFERROR(VLOOKUP(A38,Lista1[],2,FALSE),"")</f>
        <v/>
      </c>
      <c r="C38" s="1" t="str">
        <f>VLOOKUP(Filtro!A38,Comparacao!$A$7:$D$200,3,FALSE)</f>
        <v/>
      </c>
      <c r="D38" s="1" t="str">
        <f>VLOOKUP(Filtro!A38,Comparacao!$A$7:$D$200,4,FALSE)</f>
        <v/>
      </c>
      <c r="F38" t="str">
        <f t="array" ref="F38">IFERROR(INDEX(Comparacao!$G$7:$G$200,SMALL(IF(Comparacao!$K$7:$K$200=$A$2,ROW(Comparacao!$G$7:$G$200)),ROW(34:34))-6,1),"")</f>
        <v/>
      </c>
      <c r="G38" t="str">
        <f>IFERROR(VLOOKUP(F38,Lista2[],2,FALSE),"")</f>
        <v/>
      </c>
      <c r="H38" s="1" t="str">
        <f>VLOOKUP(Filtro!F38,Comparacao!$G$7:$J$200,3,FALSE)</f>
        <v/>
      </c>
      <c r="I38" s="1" t="str">
        <f>VLOOKUP(Filtro!F38,Comparacao!$G$7:$J$200,4,FALSE)</f>
        <v/>
      </c>
    </row>
    <row r="39" spans="1:9" x14ac:dyDescent="0.25">
      <c r="A39" s="3" t="str">
        <f t="array" ref="A39">IFERROR(INDEX(Comparacao!$A$7:$A$200,SMALL(IF(Comparacao!$E$7:$E$200=$A$2,ROW(Comparacao!$A$7:$A$200)),ROW(35:35))-6,1),"")</f>
        <v/>
      </c>
      <c r="B39" s="3" t="str">
        <f>IFERROR(VLOOKUP(A39,Lista1[],2,FALSE),"")</f>
        <v/>
      </c>
      <c r="C39" s="1" t="str">
        <f>VLOOKUP(Filtro!A39,Comparacao!$A$7:$D$200,3,FALSE)</f>
        <v/>
      </c>
      <c r="D39" s="1" t="str">
        <f>VLOOKUP(Filtro!A39,Comparacao!$A$7:$D$200,4,FALSE)</f>
        <v/>
      </c>
      <c r="F39" t="str">
        <f t="array" ref="F39">IFERROR(INDEX(Comparacao!$G$7:$G$200,SMALL(IF(Comparacao!$K$7:$K$200=$A$2,ROW(Comparacao!$G$7:$G$200)),ROW(35:35))-6,1),"")</f>
        <v/>
      </c>
      <c r="G39" t="str">
        <f>IFERROR(VLOOKUP(F39,Lista2[],2,FALSE),"")</f>
        <v/>
      </c>
      <c r="H39" s="1" t="str">
        <f>VLOOKUP(Filtro!F39,Comparacao!$G$7:$J$200,3,FALSE)</f>
        <v/>
      </c>
      <c r="I39" s="1" t="str">
        <f>VLOOKUP(Filtro!F39,Comparacao!$G$7:$J$200,4,FALSE)</f>
        <v/>
      </c>
    </row>
    <row r="40" spans="1:9" x14ac:dyDescent="0.25">
      <c r="A40" s="3" t="str">
        <f t="array" ref="A40">IFERROR(INDEX(Comparacao!$A$7:$A$200,SMALL(IF(Comparacao!$E$7:$E$200=$A$2,ROW(Comparacao!$A$7:$A$200)),ROW(36:36))-6,1),"")</f>
        <v/>
      </c>
      <c r="B40" s="3" t="str">
        <f>IFERROR(VLOOKUP(A40,Lista1[],2,FALSE),"")</f>
        <v/>
      </c>
      <c r="C40" s="1" t="str">
        <f>VLOOKUP(Filtro!A40,Comparacao!$A$7:$D$200,3,FALSE)</f>
        <v/>
      </c>
      <c r="D40" s="1" t="str">
        <f>VLOOKUP(Filtro!A40,Comparacao!$A$7:$D$200,4,FALSE)</f>
        <v/>
      </c>
      <c r="F40" t="str">
        <f t="array" ref="F40">IFERROR(INDEX(Comparacao!$G$7:$G$200,SMALL(IF(Comparacao!$K$7:$K$200=$A$2,ROW(Comparacao!$G$7:$G$200)),ROW(36:36))-6,1),"")</f>
        <v/>
      </c>
      <c r="G40" t="str">
        <f>IFERROR(VLOOKUP(F40,Lista2[],2,FALSE),"")</f>
        <v/>
      </c>
      <c r="H40" s="1" t="str">
        <f>VLOOKUP(Filtro!F40,Comparacao!$G$7:$J$200,3,FALSE)</f>
        <v/>
      </c>
      <c r="I40" s="1" t="str">
        <f>VLOOKUP(Filtro!F40,Comparacao!$G$7:$J$200,4,FALSE)</f>
        <v/>
      </c>
    </row>
    <row r="41" spans="1:9" x14ac:dyDescent="0.25">
      <c r="A41" s="3" t="str">
        <f t="array" ref="A41">IFERROR(INDEX(Comparacao!$A$7:$A$200,SMALL(IF(Comparacao!$E$7:$E$200=$A$2,ROW(Comparacao!$A$7:$A$200)),ROW(37:37))-6,1),"")</f>
        <v/>
      </c>
      <c r="B41" s="3" t="str">
        <f>IFERROR(VLOOKUP(A41,Lista1[],2,FALSE),"")</f>
        <v/>
      </c>
      <c r="C41" s="1" t="str">
        <f>VLOOKUP(Filtro!A41,Comparacao!$A$7:$D$200,3,FALSE)</f>
        <v/>
      </c>
      <c r="D41" s="1" t="str">
        <f>VLOOKUP(Filtro!A41,Comparacao!$A$7:$D$200,4,FALSE)</f>
        <v/>
      </c>
      <c r="F41" t="str">
        <f t="array" ref="F41">IFERROR(INDEX(Comparacao!$G$7:$G$200,SMALL(IF(Comparacao!$K$7:$K$200=$A$2,ROW(Comparacao!$G$7:$G$200)),ROW(37:37))-6,1),"")</f>
        <v/>
      </c>
      <c r="G41" t="str">
        <f>IFERROR(VLOOKUP(F41,Lista2[],2,FALSE),"")</f>
        <v/>
      </c>
      <c r="H41" s="1" t="str">
        <f>VLOOKUP(Filtro!F41,Comparacao!$G$7:$J$200,3,FALSE)</f>
        <v/>
      </c>
      <c r="I41" s="1" t="str">
        <f>VLOOKUP(Filtro!F41,Comparacao!$G$7:$J$200,4,FALSE)</f>
        <v/>
      </c>
    </row>
    <row r="42" spans="1:9" x14ac:dyDescent="0.25">
      <c r="A42" s="3" t="str">
        <f t="array" ref="A42">IFERROR(INDEX(Comparacao!$A$7:$A$200,SMALL(IF(Comparacao!$E$7:$E$200=$A$2,ROW(Comparacao!$A$7:$A$200)),ROW(38:38))-6,1),"")</f>
        <v/>
      </c>
      <c r="B42" s="3" t="str">
        <f>IFERROR(VLOOKUP(A42,Lista1[],2,FALSE),"")</f>
        <v/>
      </c>
      <c r="C42" s="1" t="str">
        <f>VLOOKUP(Filtro!A42,Comparacao!$A$7:$D$200,3,FALSE)</f>
        <v/>
      </c>
      <c r="D42" s="1" t="str">
        <f>VLOOKUP(Filtro!A42,Comparacao!$A$7:$D$200,4,FALSE)</f>
        <v/>
      </c>
      <c r="F42" t="str">
        <f t="array" ref="F42">IFERROR(INDEX(Comparacao!$G$7:$G$200,SMALL(IF(Comparacao!$K$7:$K$200=$A$2,ROW(Comparacao!$G$7:$G$200)),ROW(38:38))-6,1),"")</f>
        <v/>
      </c>
      <c r="G42" t="str">
        <f>IFERROR(VLOOKUP(F42,Lista2[],2,FALSE),"")</f>
        <v/>
      </c>
      <c r="H42" s="1" t="str">
        <f>VLOOKUP(Filtro!F42,Comparacao!$G$7:$J$200,3,FALSE)</f>
        <v/>
      </c>
      <c r="I42" s="1" t="str">
        <f>VLOOKUP(Filtro!F42,Comparacao!$G$7:$J$200,4,FALSE)</f>
        <v/>
      </c>
    </row>
    <row r="43" spans="1:9" x14ac:dyDescent="0.25">
      <c r="A43" s="3" t="str">
        <f t="array" ref="A43">IFERROR(INDEX(Comparacao!$A$7:$A$200,SMALL(IF(Comparacao!$E$7:$E$200=$A$2,ROW(Comparacao!$A$7:$A$200)),ROW(39:39))-6,1),"")</f>
        <v/>
      </c>
      <c r="B43" s="3" t="str">
        <f>IFERROR(VLOOKUP(A43,Lista1[],2,FALSE),"")</f>
        <v/>
      </c>
      <c r="C43" s="1" t="str">
        <f>VLOOKUP(Filtro!A43,Comparacao!$A$7:$D$200,3,FALSE)</f>
        <v/>
      </c>
      <c r="D43" s="1" t="str">
        <f>VLOOKUP(Filtro!A43,Comparacao!$A$7:$D$200,4,FALSE)</f>
        <v/>
      </c>
      <c r="F43" t="str">
        <f t="array" ref="F43">IFERROR(INDEX(Comparacao!$G$7:$G$200,SMALL(IF(Comparacao!$K$7:$K$200=$A$2,ROW(Comparacao!$G$7:$G$200)),ROW(39:39))-6,1),"")</f>
        <v/>
      </c>
      <c r="G43" t="str">
        <f>IFERROR(VLOOKUP(F43,Lista2[],2,FALSE),"")</f>
        <v/>
      </c>
      <c r="H43" s="1" t="str">
        <f>VLOOKUP(Filtro!F43,Comparacao!$G$7:$J$200,3,FALSE)</f>
        <v/>
      </c>
      <c r="I43" s="1" t="str">
        <f>VLOOKUP(Filtro!F43,Comparacao!$G$7:$J$200,4,FALSE)</f>
        <v/>
      </c>
    </row>
    <row r="44" spans="1:9" x14ac:dyDescent="0.25">
      <c r="A44" s="3" t="str">
        <f t="array" ref="A44">IFERROR(INDEX(Comparacao!$A$7:$A$200,SMALL(IF(Comparacao!$E$7:$E$200=$A$2,ROW(Comparacao!$A$7:$A$200)),ROW(40:40))-6,1),"")</f>
        <v/>
      </c>
      <c r="B44" s="3" t="str">
        <f>IFERROR(VLOOKUP(A44,Lista1[],2,FALSE),"")</f>
        <v/>
      </c>
      <c r="C44" s="1" t="str">
        <f>VLOOKUP(Filtro!A44,Comparacao!$A$7:$D$200,3,FALSE)</f>
        <v/>
      </c>
      <c r="D44" s="1" t="str">
        <f>VLOOKUP(Filtro!A44,Comparacao!$A$7:$D$200,4,FALSE)</f>
        <v/>
      </c>
      <c r="F44" t="str">
        <f t="array" ref="F44">IFERROR(INDEX(Comparacao!$G$7:$G$200,SMALL(IF(Comparacao!$K$7:$K$200=$A$2,ROW(Comparacao!$G$7:$G$200)),ROW(40:40))-6,1),"")</f>
        <v/>
      </c>
      <c r="G44" t="str">
        <f>IFERROR(VLOOKUP(F44,Lista2[],2,FALSE),"")</f>
        <v/>
      </c>
      <c r="H44" s="1" t="str">
        <f>VLOOKUP(Filtro!F44,Comparacao!$G$7:$J$200,3,FALSE)</f>
        <v/>
      </c>
      <c r="I44" s="1" t="str">
        <f>VLOOKUP(Filtro!F44,Comparacao!$G$7:$J$200,4,FALSE)</f>
        <v/>
      </c>
    </row>
    <row r="45" spans="1:9" x14ac:dyDescent="0.25">
      <c r="A45" s="3" t="str">
        <f t="array" ref="A45">IFERROR(INDEX(Comparacao!$A$7:$A$200,SMALL(IF(Comparacao!$E$7:$E$200=$A$2,ROW(Comparacao!$A$7:$A$200)),ROW(41:41))-6,1),"")</f>
        <v/>
      </c>
      <c r="B45" s="3" t="str">
        <f>IFERROR(VLOOKUP(A45,Lista1[],2,FALSE),"")</f>
        <v/>
      </c>
      <c r="C45" s="1" t="str">
        <f>VLOOKUP(Filtro!A45,Comparacao!$A$7:$D$200,3,FALSE)</f>
        <v/>
      </c>
      <c r="D45" s="1" t="str">
        <f>VLOOKUP(Filtro!A45,Comparacao!$A$7:$D$200,4,FALSE)</f>
        <v/>
      </c>
      <c r="F45" t="str">
        <f t="array" ref="F45">IFERROR(INDEX(Comparacao!$G$7:$G$200,SMALL(IF(Comparacao!$K$7:$K$200=$A$2,ROW(Comparacao!$G$7:$G$200)),ROW(41:41))-6,1),"")</f>
        <v/>
      </c>
      <c r="G45" t="str">
        <f>IFERROR(VLOOKUP(F45,Lista2[],2,FALSE),"")</f>
        <v/>
      </c>
      <c r="H45" s="1" t="str">
        <f>VLOOKUP(Filtro!F45,Comparacao!$G$7:$J$200,3,FALSE)</f>
        <v/>
      </c>
      <c r="I45" s="1" t="str">
        <f>VLOOKUP(Filtro!F45,Comparacao!$G$7:$J$200,4,FALSE)</f>
        <v/>
      </c>
    </row>
    <row r="46" spans="1:9" x14ac:dyDescent="0.25">
      <c r="A46" s="3" t="str">
        <f t="array" ref="A46">IFERROR(INDEX(Comparacao!$A$7:$A$200,SMALL(IF(Comparacao!$E$7:$E$200=$A$2,ROW(Comparacao!$A$7:$A$200)),ROW(42:42))-6,1),"")</f>
        <v/>
      </c>
      <c r="B46" s="3" t="str">
        <f>IFERROR(VLOOKUP(A46,Lista1[],2,FALSE),"")</f>
        <v/>
      </c>
      <c r="C46" s="1" t="str">
        <f>VLOOKUP(Filtro!A46,Comparacao!$A$7:$D$200,3,FALSE)</f>
        <v/>
      </c>
      <c r="D46" s="1" t="str">
        <f>VLOOKUP(Filtro!A46,Comparacao!$A$7:$D$200,4,FALSE)</f>
        <v/>
      </c>
      <c r="F46" t="str">
        <f t="array" ref="F46">IFERROR(INDEX(Comparacao!$G$7:$G$200,SMALL(IF(Comparacao!$K$7:$K$200=$A$2,ROW(Comparacao!$G$7:$G$200)),ROW(42:42))-6,1),"")</f>
        <v/>
      </c>
      <c r="G46" t="str">
        <f>IFERROR(VLOOKUP(F46,Lista2[],2,FALSE),"")</f>
        <v/>
      </c>
      <c r="H46" s="1" t="str">
        <f>VLOOKUP(Filtro!F46,Comparacao!$G$7:$J$200,3,FALSE)</f>
        <v/>
      </c>
      <c r="I46" s="1" t="str">
        <f>VLOOKUP(Filtro!F46,Comparacao!$G$7:$J$200,4,FALSE)</f>
        <v/>
      </c>
    </row>
    <row r="47" spans="1:9" x14ac:dyDescent="0.25">
      <c r="A47" s="3" t="str">
        <f t="array" ref="A47">IFERROR(INDEX(Comparacao!$A$7:$A$200,SMALL(IF(Comparacao!$E$7:$E$200=$A$2,ROW(Comparacao!$A$7:$A$200)),ROW(43:43))-6,1),"")</f>
        <v/>
      </c>
      <c r="B47" s="3" t="str">
        <f>IFERROR(VLOOKUP(A47,Lista1[],2,FALSE),"")</f>
        <v/>
      </c>
      <c r="C47" s="1" t="str">
        <f>VLOOKUP(Filtro!A47,Comparacao!$A$7:$D$200,3,FALSE)</f>
        <v/>
      </c>
      <c r="D47" s="1" t="str">
        <f>VLOOKUP(Filtro!A47,Comparacao!$A$7:$D$200,4,FALSE)</f>
        <v/>
      </c>
      <c r="F47" t="str">
        <f t="array" ref="F47">IFERROR(INDEX(Comparacao!$G$7:$G$200,SMALL(IF(Comparacao!$K$7:$K$200=$A$2,ROW(Comparacao!$G$7:$G$200)),ROW(43:43))-6,1),"")</f>
        <v/>
      </c>
      <c r="G47" t="str">
        <f>IFERROR(VLOOKUP(F47,Lista2[],2,FALSE),"")</f>
        <v/>
      </c>
      <c r="H47" s="1" t="str">
        <f>VLOOKUP(Filtro!F47,Comparacao!$G$7:$J$200,3,FALSE)</f>
        <v/>
      </c>
      <c r="I47" s="1" t="str">
        <f>VLOOKUP(Filtro!F47,Comparacao!$G$7:$J$200,4,FALSE)</f>
        <v/>
      </c>
    </row>
    <row r="48" spans="1:9" x14ac:dyDescent="0.25">
      <c r="A48" s="3" t="str">
        <f t="array" ref="A48">IFERROR(INDEX(Comparacao!$A$7:$A$200,SMALL(IF(Comparacao!$E$7:$E$200=$A$2,ROW(Comparacao!$A$7:$A$200)),ROW(44:44))-6,1),"")</f>
        <v/>
      </c>
      <c r="B48" s="3" t="str">
        <f>IFERROR(VLOOKUP(A48,Lista1[],2,FALSE),"")</f>
        <v/>
      </c>
      <c r="C48" s="1" t="str">
        <f>VLOOKUP(Filtro!A48,Comparacao!$A$7:$D$200,3,FALSE)</f>
        <v/>
      </c>
      <c r="D48" s="1" t="str">
        <f>VLOOKUP(Filtro!A48,Comparacao!$A$7:$D$200,4,FALSE)</f>
        <v/>
      </c>
      <c r="F48" t="str">
        <f t="array" ref="F48">IFERROR(INDEX(Comparacao!$G$7:$G$200,SMALL(IF(Comparacao!$K$7:$K$200=$A$2,ROW(Comparacao!$G$7:$G$200)),ROW(44:44))-6,1),"")</f>
        <v/>
      </c>
      <c r="G48" t="str">
        <f>IFERROR(VLOOKUP(F48,Lista2[],2,FALSE),"")</f>
        <v/>
      </c>
      <c r="H48" s="1" t="str">
        <f>VLOOKUP(Filtro!F48,Comparacao!$G$7:$J$200,3,FALSE)</f>
        <v/>
      </c>
      <c r="I48" s="1" t="str">
        <f>VLOOKUP(Filtro!F48,Comparacao!$G$7:$J$200,4,FALSE)</f>
        <v/>
      </c>
    </row>
    <row r="49" spans="1:9" x14ac:dyDescent="0.25">
      <c r="A49" s="3" t="str">
        <f t="array" ref="A49">IFERROR(INDEX(Comparacao!$A$7:$A$200,SMALL(IF(Comparacao!$E$7:$E$200=$A$2,ROW(Comparacao!$A$7:$A$200)),ROW(45:45))-6,1),"")</f>
        <v/>
      </c>
      <c r="B49" s="3" t="str">
        <f>IFERROR(VLOOKUP(A49,Lista1[],2,FALSE),"")</f>
        <v/>
      </c>
      <c r="C49" s="1" t="str">
        <f>VLOOKUP(Filtro!A49,Comparacao!$A$7:$D$200,3,FALSE)</f>
        <v/>
      </c>
      <c r="D49" s="1" t="str">
        <f>VLOOKUP(Filtro!A49,Comparacao!$A$7:$D$200,4,FALSE)</f>
        <v/>
      </c>
      <c r="F49" t="str">
        <f t="array" ref="F49">IFERROR(INDEX(Comparacao!$G$7:$G$200,SMALL(IF(Comparacao!$K$7:$K$200=$A$2,ROW(Comparacao!$G$7:$G$200)),ROW(45:45))-6,1),"")</f>
        <v/>
      </c>
      <c r="G49" t="str">
        <f>IFERROR(VLOOKUP(F49,Lista2[],2,FALSE),"")</f>
        <v/>
      </c>
      <c r="H49" s="1" t="str">
        <f>VLOOKUP(Filtro!F49,Comparacao!$G$7:$J$200,3,FALSE)</f>
        <v/>
      </c>
      <c r="I49" s="1" t="str">
        <f>VLOOKUP(Filtro!F49,Comparacao!$G$7:$J$200,4,FALSE)</f>
        <v/>
      </c>
    </row>
    <row r="50" spans="1:9" x14ac:dyDescent="0.25">
      <c r="A50" s="3" t="str">
        <f t="array" ref="A50">IFERROR(INDEX(Comparacao!$A$7:$A$200,SMALL(IF(Comparacao!$E$7:$E$200=$A$2,ROW(Comparacao!$A$7:$A$200)),ROW(46:46))-6,1),"")</f>
        <v/>
      </c>
      <c r="B50" s="3" t="str">
        <f>IFERROR(VLOOKUP(A50,Lista1[],2,FALSE),"")</f>
        <v/>
      </c>
      <c r="C50" s="1" t="str">
        <f>VLOOKUP(Filtro!A50,Comparacao!$A$7:$D$200,3,FALSE)</f>
        <v/>
      </c>
      <c r="D50" s="1" t="str">
        <f>VLOOKUP(Filtro!A50,Comparacao!$A$7:$D$200,4,FALSE)</f>
        <v/>
      </c>
      <c r="F50" t="str">
        <f t="array" ref="F50">IFERROR(INDEX(Comparacao!$G$7:$G$200,SMALL(IF(Comparacao!$K$7:$K$200=$A$2,ROW(Comparacao!$G$7:$G$200)),ROW(46:46))-6,1),"")</f>
        <v/>
      </c>
      <c r="G50" t="str">
        <f>IFERROR(VLOOKUP(F50,Lista2[],2,FALSE),"")</f>
        <v/>
      </c>
      <c r="H50" s="1" t="str">
        <f>VLOOKUP(Filtro!F50,Comparacao!$G$7:$J$200,3,FALSE)</f>
        <v/>
      </c>
      <c r="I50" s="1" t="str">
        <f>VLOOKUP(Filtro!F50,Comparacao!$G$7:$J$200,4,FALSE)</f>
        <v/>
      </c>
    </row>
    <row r="51" spans="1:9" x14ac:dyDescent="0.25">
      <c r="A51" s="3" t="str">
        <f t="array" ref="A51">IFERROR(INDEX(Comparacao!$A$7:$A$200,SMALL(IF(Comparacao!$E$7:$E$200=$A$2,ROW(Comparacao!$A$7:$A$200)),ROW(47:47))-6,1),"")</f>
        <v/>
      </c>
      <c r="B51" s="3" t="str">
        <f>IFERROR(VLOOKUP(A51,Lista1[],2,FALSE),"")</f>
        <v/>
      </c>
      <c r="C51" s="1" t="str">
        <f>VLOOKUP(Filtro!A51,Comparacao!$A$7:$D$200,3,FALSE)</f>
        <v/>
      </c>
      <c r="D51" s="1" t="str">
        <f>VLOOKUP(Filtro!A51,Comparacao!$A$7:$D$200,4,FALSE)</f>
        <v/>
      </c>
      <c r="F51" t="str">
        <f t="array" ref="F51">IFERROR(INDEX(Comparacao!$G$7:$G$200,SMALL(IF(Comparacao!$K$7:$K$200=$A$2,ROW(Comparacao!$G$7:$G$200)),ROW(47:47))-6,1),"")</f>
        <v/>
      </c>
      <c r="G51" t="str">
        <f>IFERROR(VLOOKUP(F51,Lista2[],2,FALSE),"")</f>
        <v/>
      </c>
      <c r="H51" s="1" t="str">
        <f>VLOOKUP(Filtro!F51,Comparacao!$G$7:$J$200,3,FALSE)</f>
        <v/>
      </c>
      <c r="I51" s="1" t="str">
        <f>VLOOKUP(Filtro!F51,Comparacao!$G$7:$J$200,4,FALSE)</f>
        <v/>
      </c>
    </row>
    <row r="52" spans="1:9" x14ac:dyDescent="0.25">
      <c r="A52" s="3" t="str">
        <f t="array" ref="A52">IFERROR(INDEX(Comparacao!$A$7:$A$200,SMALL(IF(Comparacao!$E$7:$E$200=$A$2,ROW(Comparacao!$A$7:$A$200)),ROW(48:48))-6,1),"")</f>
        <v/>
      </c>
      <c r="B52" s="3" t="str">
        <f>IFERROR(VLOOKUP(A52,Lista1[],2,FALSE),"")</f>
        <v/>
      </c>
      <c r="C52" s="1" t="str">
        <f>VLOOKUP(Filtro!A52,Comparacao!$A$7:$D$200,3,FALSE)</f>
        <v/>
      </c>
      <c r="D52" s="1" t="str">
        <f>VLOOKUP(Filtro!A52,Comparacao!$A$7:$D$200,4,FALSE)</f>
        <v/>
      </c>
      <c r="F52" t="str">
        <f t="array" ref="F52">IFERROR(INDEX(Comparacao!$G$7:$G$200,SMALL(IF(Comparacao!$K$7:$K$200=$A$2,ROW(Comparacao!$G$7:$G$200)),ROW(48:48))-6,1),"")</f>
        <v/>
      </c>
      <c r="G52" t="str">
        <f>IFERROR(VLOOKUP(F52,Lista2[],2,FALSE),"")</f>
        <v/>
      </c>
      <c r="H52" s="1" t="str">
        <f>VLOOKUP(Filtro!F52,Comparacao!$G$7:$J$200,3,FALSE)</f>
        <v/>
      </c>
      <c r="I52" s="1" t="str">
        <f>VLOOKUP(Filtro!F52,Comparacao!$G$7:$J$200,4,FALSE)</f>
        <v/>
      </c>
    </row>
    <row r="53" spans="1:9" x14ac:dyDescent="0.25">
      <c r="A53" s="3" t="str">
        <f t="array" ref="A53">IFERROR(INDEX(Comparacao!$A$7:$A$200,SMALL(IF(Comparacao!$E$7:$E$200=$A$2,ROW(Comparacao!$A$7:$A$200)),ROW(49:49))-6,1),"")</f>
        <v/>
      </c>
      <c r="B53" s="3" t="str">
        <f>IFERROR(VLOOKUP(A53,Lista1[],2,FALSE),"")</f>
        <v/>
      </c>
      <c r="C53" s="1" t="str">
        <f>VLOOKUP(Filtro!A53,Comparacao!$A$7:$D$200,3,FALSE)</f>
        <v/>
      </c>
      <c r="D53" s="1" t="str">
        <f>VLOOKUP(Filtro!A53,Comparacao!$A$7:$D$200,4,FALSE)</f>
        <v/>
      </c>
      <c r="F53" t="str">
        <f t="array" ref="F53">IFERROR(INDEX(Comparacao!$G$7:$G$200,SMALL(IF(Comparacao!$K$7:$K$200=$A$2,ROW(Comparacao!$G$7:$G$200)),ROW(49:49))-6,1),"")</f>
        <v/>
      </c>
      <c r="G53" t="str">
        <f>IFERROR(VLOOKUP(F53,Lista2[],2,FALSE),"")</f>
        <v/>
      </c>
      <c r="H53" s="1" t="str">
        <f>VLOOKUP(Filtro!F53,Comparacao!$G$7:$J$200,3,FALSE)</f>
        <v/>
      </c>
      <c r="I53" s="1" t="str">
        <f>VLOOKUP(Filtro!F53,Comparacao!$G$7:$J$200,4,FALSE)</f>
        <v/>
      </c>
    </row>
    <row r="54" spans="1:9" x14ac:dyDescent="0.25">
      <c r="A54" s="3" t="str">
        <f t="array" ref="A54">IFERROR(INDEX(Comparacao!$A$7:$A$200,SMALL(IF(Comparacao!$E$7:$E$200=$A$2,ROW(Comparacao!$A$7:$A$200)),ROW(50:50))-6,1),"")</f>
        <v/>
      </c>
      <c r="B54" s="3" t="str">
        <f>IFERROR(VLOOKUP(A54,Lista1[],2,FALSE),"")</f>
        <v/>
      </c>
      <c r="C54" s="1" t="str">
        <f>VLOOKUP(Filtro!A54,Comparacao!$A$7:$D$200,3,FALSE)</f>
        <v/>
      </c>
      <c r="D54" s="1" t="str">
        <f>VLOOKUP(Filtro!A54,Comparacao!$A$7:$D$200,4,FALSE)</f>
        <v/>
      </c>
      <c r="F54" t="str">
        <f t="array" ref="F54">IFERROR(INDEX(Comparacao!$G$7:$G$200,SMALL(IF(Comparacao!$K$7:$K$200=$A$2,ROW(Comparacao!$G$7:$G$200)),ROW(50:50))-6,1),"")</f>
        <v/>
      </c>
      <c r="G54" t="str">
        <f>IFERROR(VLOOKUP(F54,Lista2[],2,FALSE),"")</f>
        <v/>
      </c>
      <c r="H54" s="1" t="str">
        <f>VLOOKUP(Filtro!F54,Comparacao!$G$7:$J$200,3,FALSE)</f>
        <v/>
      </c>
      <c r="I54" s="1" t="str">
        <f>VLOOKUP(Filtro!F54,Comparacao!$G$7:$J$200,4,FALSE)</f>
        <v/>
      </c>
    </row>
    <row r="55" spans="1:9" x14ac:dyDescent="0.25">
      <c r="A55" s="3" t="str">
        <f t="array" ref="A55">IFERROR(INDEX(Comparacao!$A$7:$A$200,SMALL(IF(Comparacao!$E$7:$E$200=$A$2,ROW(Comparacao!$A$7:$A$200)),ROW(51:51))-6,1),"")</f>
        <v/>
      </c>
      <c r="B55" s="3" t="str">
        <f>IFERROR(VLOOKUP(A55,Lista1[],2,FALSE),"")</f>
        <v/>
      </c>
      <c r="C55" s="1" t="str">
        <f>VLOOKUP(Filtro!A55,Comparacao!$A$7:$D$200,3,FALSE)</f>
        <v/>
      </c>
      <c r="D55" s="1" t="str">
        <f>VLOOKUP(Filtro!A55,Comparacao!$A$7:$D$200,4,FALSE)</f>
        <v/>
      </c>
      <c r="F55" t="str">
        <f t="array" ref="F55">IFERROR(INDEX(Comparacao!$G$7:$G$200,SMALL(IF(Comparacao!$K$7:$K$200=$A$2,ROW(Comparacao!$G$7:$G$200)),ROW(51:51))-6,1),"")</f>
        <v/>
      </c>
      <c r="G55" t="str">
        <f>IFERROR(VLOOKUP(F55,Lista2[],2,FALSE),"")</f>
        <v/>
      </c>
      <c r="H55" s="1" t="str">
        <f>VLOOKUP(Filtro!F55,Comparacao!$G$7:$J$200,3,FALSE)</f>
        <v/>
      </c>
      <c r="I55" s="1" t="str">
        <f>VLOOKUP(Filtro!F55,Comparacao!$G$7:$J$200,4,FALSE)</f>
        <v/>
      </c>
    </row>
    <row r="56" spans="1:9" x14ac:dyDescent="0.25">
      <c r="A56" s="3" t="str">
        <f t="array" ref="A56">IFERROR(INDEX(Comparacao!$A$7:$A$200,SMALL(IF(Comparacao!$E$7:$E$200=$A$2,ROW(Comparacao!$A$7:$A$200)),ROW(52:52))-6,1),"")</f>
        <v/>
      </c>
      <c r="B56" s="3" t="str">
        <f>IFERROR(VLOOKUP(A56,Lista1[],2,FALSE),"")</f>
        <v/>
      </c>
      <c r="C56" s="1" t="str">
        <f>VLOOKUP(Filtro!A56,Comparacao!$A$7:$D$200,3,FALSE)</f>
        <v/>
      </c>
      <c r="D56" s="1" t="str">
        <f>VLOOKUP(Filtro!A56,Comparacao!$A$7:$D$200,4,FALSE)</f>
        <v/>
      </c>
      <c r="F56" t="str">
        <f t="array" ref="F56">IFERROR(INDEX(Comparacao!$G$7:$G$200,SMALL(IF(Comparacao!$K$7:$K$200=$A$2,ROW(Comparacao!$G$7:$G$200)),ROW(52:52))-6,1),"")</f>
        <v/>
      </c>
      <c r="G56" t="str">
        <f>IFERROR(VLOOKUP(F56,Lista2[],2,FALSE),"")</f>
        <v/>
      </c>
      <c r="H56" s="1" t="str">
        <f>VLOOKUP(Filtro!F56,Comparacao!$G$7:$J$200,3,FALSE)</f>
        <v/>
      </c>
      <c r="I56" s="1" t="str">
        <f>VLOOKUP(Filtro!F56,Comparacao!$G$7:$J$200,4,FALSE)</f>
        <v/>
      </c>
    </row>
    <row r="57" spans="1:9" x14ac:dyDescent="0.25">
      <c r="A57" s="3" t="str">
        <f t="array" ref="A57">IFERROR(INDEX(Comparacao!$A$7:$A$200,SMALL(IF(Comparacao!$E$7:$E$200=$A$2,ROW(Comparacao!$A$7:$A$200)),ROW(53:53))-6,1),"")</f>
        <v/>
      </c>
      <c r="B57" s="3" t="str">
        <f>IFERROR(VLOOKUP(A57,Lista1[],2,FALSE),"")</f>
        <v/>
      </c>
      <c r="C57" s="1" t="str">
        <f>VLOOKUP(Filtro!A57,Comparacao!$A$7:$D$200,3,FALSE)</f>
        <v/>
      </c>
      <c r="D57" s="1" t="str">
        <f>VLOOKUP(Filtro!A57,Comparacao!$A$7:$D$200,4,FALSE)</f>
        <v/>
      </c>
      <c r="F57" t="str">
        <f t="array" ref="F57">IFERROR(INDEX(Comparacao!$G$7:$G$200,SMALL(IF(Comparacao!$K$7:$K$200=$A$2,ROW(Comparacao!$G$7:$G$200)),ROW(53:53))-6,1),"")</f>
        <v/>
      </c>
      <c r="G57" t="str">
        <f>IFERROR(VLOOKUP(F57,Lista2[],2,FALSE),"")</f>
        <v/>
      </c>
      <c r="H57" s="1" t="str">
        <f>VLOOKUP(Filtro!F57,Comparacao!$G$7:$J$200,3,FALSE)</f>
        <v/>
      </c>
      <c r="I57" s="1" t="str">
        <f>VLOOKUP(Filtro!F57,Comparacao!$G$7:$J$200,4,FALSE)</f>
        <v/>
      </c>
    </row>
    <row r="58" spans="1:9" x14ac:dyDescent="0.25">
      <c r="A58" s="3" t="str">
        <f t="array" ref="A58">IFERROR(INDEX(Comparacao!$A$7:$A$200,SMALL(IF(Comparacao!$E$7:$E$200=$A$2,ROW(Comparacao!$A$7:$A$200)),ROW(54:54))-6,1),"")</f>
        <v/>
      </c>
      <c r="B58" s="3" t="str">
        <f>IFERROR(VLOOKUP(A58,Lista1[],2,FALSE),"")</f>
        <v/>
      </c>
      <c r="C58" s="1" t="str">
        <f>VLOOKUP(Filtro!A58,Comparacao!$A$7:$D$200,3,FALSE)</f>
        <v/>
      </c>
      <c r="D58" s="1" t="str">
        <f>VLOOKUP(Filtro!A58,Comparacao!$A$7:$D$200,4,FALSE)</f>
        <v/>
      </c>
      <c r="F58" t="str">
        <f t="array" ref="F58">IFERROR(INDEX(Comparacao!$G$7:$G$200,SMALL(IF(Comparacao!$K$7:$K$200=$A$2,ROW(Comparacao!$G$7:$G$200)),ROW(54:54))-6,1),"")</f>
        <v/>
      </c>
      <c r="G58" t="str">
        <f>IFERROR(VLOOKUP(F58,Lista2[],2,FALSE),"")</f>
        <v/>
      </c>
      <c r="H58" s="1" t="str">
        <f>VLOOKUP(Filtro!F58,Comparacao!$G$7:$J$200,3,FALSE)</f>
        <v/>
      </c>
      <c r="I58" s="1" t="str">
        <f>VLOOKUP(Filtro!F58,Comparacao!$G$7:$J$200,4,FALSE)</f>
        <v/>
      </c>
    </row>
    <row r="59" spans="1:9" x14ac:dyDescent="0.25">
      <c r="A59" s="3" t="str">
        <f t="array" ref="A59">IFERROR(INDEX(Comparacao!$A$7:$A$200,SMALL(IF(Comparacao!$E$7:$E$200=$A$2,ROW(Comparacao!$A$7:$A$200)),ROW(55:55))-6,1),"")</f>
        <v/>
      </c>
      <c r="B59" s="3" t="str">
        <f>IFERROR(VLOOKUP(A59,Lista1[],2,FALSE),"")</f>
        <v/>
      </c>
      <c r="C59" s="1" t="str">
        <f>VLOOKUP(Filtro!A59,Comparacao!$A$7:$D$200,3,FALSE)</f>
        <v/>
      </c>
      <c r="D59" s="1" t="str">
        <f>VLOOKUP(Filtro!A59,Comparacao!$A$7:$D$200,4,FALSE)</f>
        <v/>
      </c>
      <c r="F59" t="str">
        <f t="array" ref="F59">IFERROR(INDEX(Comparacao!$G$7:$G$200,SMALL(IF(Comparacao!$K$7:$K$200=$A$2,ROW(Comparacao!$G$7:$G$200)),ROW(55:55))-6,1),"")</f>
        <v/>
      </c>
      <c r="G59" t="str">
        <f>IFERROR(VLOOKUP(F59,Lista2[],2,FALSE),"")</f>
        <v/>
      </c>
      <c r="H59" s="1" t="str">
        <f>VLOOKUP(Filtro!F59,Comparacao!$G$7:$J$200,3,FALSE)</f>
        <v/>
      </c>
      <c r="I59" s="1" t="str">
        <f>VLOOKUP(Filtro!F59,Comparacao!$G$7:$J$200,4,FALSE)</f>
        <v/>
      </c>
    </row>
    <row r="60" spans="1:9" x14ac:dyDescent="0.25">
      <c r="A60" s="3" t="str">
        <f t="array" ref="A60">IFERROR(INDEX(Comparacao!$A$7:$A$200,SMALL(IF(Comparacao!$E$7:$E$200=$A$2,ROW(Comparacao!$A$7:$A$200)),ROW(56:56))-6,1),"")</f>
        <v/>
      </c>
      <c r="B60" s="3" t="str">
        <f>IFERROR(VLOOKUP(A60,Lista1[],2,FALSE),"")</f>
        <v/>
      </c>
      <c r="C60" s="1" t="str">
        <f>VLOOKUP(Filtro!A60,Comparacao!$A$7:$D$200,3,FALSE)</f>
        <v/>
      </c>
      <c r="D60" s="1" t="str">
        <f>VLOOKUP(Filtro!A60,Comparacao!$A$7:$D$200,4,FALSE)</f>
        <v/>
      </c>
      <c r="F60" t="str">
        <f t="array" ref="F60">IFERROR(INDEX(Comparacao!$G$7:$G$200,SMALL(IF(Comparacao!$K$7:$K$200=$A$2,ROW(Comparacao!$G$7:$G$200)),ROW(56:56))-6,1),"")</f>
        <v/>
      </c>
      <c r="G60" t="str">
        <f>IFERROR(VLOOKUP(F60,Lista2[],2,FALSE),"")</f>
        <v/>
      </c>
      <c r="H60" s="1" t="str">
        <f>VLOOKUP(Filtro!F60,Comparacao!$G$7:$J$200,3,FALSE)</f>
        <v/>
      </c>
      <c r="I60" s="1" t="str">
        <f>VLOOKUP(Filtro!F60,Comparacao!$G$7:$J$200,4,FALSE)</f>
        <v/>
      </c>
    </row>
    <row r="61" spans="1:9" x14ac:dyDescent="0.25">
      <c r="A61" s="3" t="str">
        <f t="array" ref="A61">IFERROR(INDEX(Comparacao!$A$7:$A$200,SMALL(IF(Comparacao!$E$7:$E$200=$A$2,ROW(Comparacao!$A$7:$A$200)),ROW(57:57))-6,1),"")</f>
        <v/>
      </c>
      <c r="B61" s="3" t="str">
        <f>IFERROR(VLOOKUP(A61,Lista1[],2,FALSE),"")</f>
        <v/>
      </c>
      <c r="C61" s="1" t="str">
        <f>VLOOKUP(Filtro!A61,Comparacao!$A$7:$D$200,3,FALSE)</f>
        <v/>
      </c>
      <c r="D61" s="1" t="str">
        <f>VLOOKUP(Filtro!A61,Comparacao!$A$7:$D$200,4,FALSE)</f>
        <v/>
      </c>
      <c r="F61" t="str">
        <f t="array" ref="F61">IFERROR(INDEX(Comparacao!$G$7:$G$200,SMALL(IF(Comparacao!$K$7:$K$200=$A$2,ROW(Comparacao!$G$7:$G$200)),ROW(57:57))-6,1),"")</f>
        <v/>
      </c>
      <c r="G61" t="str">
        <f>IFERROR(VLOOKUP(F61,Lista2[],2,FALSE),"")</f>
        <v/>
      </c>
      <c r="H61" s="1" t="str">
        <f>VLOOKUP(Filtro!F61,Comparacao!$G$7:$J$200,3,FALSE)</f>
        <v/>
      </c>
      <c r="I61" s="1" t="str">
        <f>VLOOKUP(Filtro!F61,Comparacao!$G$7:$J$200,4,FALSE)</f>
        <v/>
      </c>
    </row>
    <row r="62" spans="1:9" x14ac:dyDescent="0.25">
      <c r="A62" s="3" t="str">
        <f t="array" ref="A62">IFERROR(INDEX(Comparacao!$A$7:$A$200,SMALL(IF(Comparacao!$E$7:$E$200=$A$2,ROW(Comparacao!$A$7:$A$200)),ROW(58:58))-6,1),"")</f>
        <v/>
      </c>
      <c r="B62" s="3" t="str">
        <f>IFERROR(VLOOKUP(A62,Lista1[],2,FALSE),"")</f>
        <v/>
      </c>
      <c r="C62" s="1" t="str">
        <f>VLOOKUP(Filtro!A62,Comparacao!$A$7:$D$200,3,FALSE)</f>
        <v/>
      </c>
      <c r="D62" s="1" t="str">
        <f>VLOOKUP(Filtro!A62,Comparacao!$A$7:$D$200,4,FALSE)</f>
        <v/>
      </c>
      <c r="F62" t="str">
        <f t="array" ref="F62">IFERROR(INDEX(Comparacao!$G$7:$G$200,SMALL(IF(Comparacao!$K$7:$K$200=$A$2,ROW(Comparacao!$G$7:$G$200)),ROW(58:58))-6,1),"")</f>
        <v/>
      </c>
      <c r="G62" t="str">
        <f>IFERROR(VLOOKUP(F62,Lista2[],2,FALSE),"")</f>
        <v/>
      </c>
      <c r="H62" s="1" t="str">
        <f>VLOOKUP(Filtro!F62,Comparacao!$G$7:$J$200,3,FALSE)</f>
        <v/>
      </c>
      <c r="I62" s="1" t="str">
        <f>VLOOKUP(Filtro!F62,Comparacao!$G$7:$J$200,4,FALSE)</f>
        <v/>
      </c>
    </row>
    <row r="63" spans="1:9" x14ac:dyDescent="0.25">
      <c r="A63" s="3" t="str">
        <f t="array" ref="A63">IFERROR(INDEX(Comparacao!$A$7:$A$200,SMALL(IF(Comparacao!$E$7:$E$200=$A$2,ROW(Comparacao!$A$7:$A$200)),ROW(59:59))-6,1),"")</f>
        <v/>
      </c>
      <c r="B63" s="3" t="str">
        <f>IFERROR(VLOOKUP(A63,Lista1[],2,FALSE),"")</f>
        <v/>
      </c>
      <c r="C63" s="1" t="str">
        <f>VLOOKUP(Filtro!A63,Comparacao!$A$7:$D$200,3,FALSE)</f>
        <v/>
      </c>
      <c r="D63" s="1" t="str">
        <f>VLOOKUP(Filtro!A63,Comparacao!$A$7:$D$200,4,FALSE)</f>
        <v/>
      </c>
      <c r="F63" t="str">
        <f t="array" ref="F63">IFERROR(INDEX(Comparacao!$G$7:$G$200,SMALL(IF(Comparacao!$K$7:$K$200=$A$2,ROW(Comparacao!$G$7:$G$200)),ROW(59:59))-6,1),"")</f>
        <v/>
      </c>
      <c r="G63" t="str">
        <f>IFERROR(VLOOKUP(F63,Lista2[],2,FALSE),"")</f>
        <v/>
      </c>
      <c r="H63" s="1" t="str">
        <f>VLOOKUP(Filtro!F63,Comparacao!$G$7:$J$200,3,FALSE)</f>
        <v/>
      </c>
      <c r="I63" s="1" t="str">
        <f>VLOOKUP(Filtro!F63,Comparacao!$G$7:$J$200,4,FALSE)</f>
        <v/>
      </c>
    </row>
    <row r="64" spans="1:9" x14ac:dyDescent="0.25">
      <c r="A64" s="3" t="str">
        <f t="array" ref="A64">IFERROR(INDEX(Comparacao!$A$7:$A$200,SMALL(IF(Comparacao!$E$7:$E$200=$A$2,ROW(Comparacao!$A$7:$A$200)),ROW(60:60))-6,1),"")</f>
        <v/>
      </c>
      <c r="B64" s="3" t="str">
        <f>IFERROR(VLOOKUP(A64,Lista1[],2,FALSE),"")</f>
        <v/>
      </c>
      <c r="C64" s="1" t="str">
        <f>VLOOKUP(Filtro!A64,Comparacao!$A$7:$D$200,3,FALSE)</f>
        <v/>
      </c>
      <c r="D64" s="1" t="str">
        <f>VLOOKUP(Filtro!A64,Comparacao!$A$7:$D$200,4,FALSE)</f>
        <v/>
      </c>
      <c r="F64" t="str">
        <f t="array" ref="F64">IFERROR(INDEX(Comparacao!$G$7:$G$200,SMALL(IF(Comparacao!$K$7:$K$200=$A$2,ROW(Comparacao!$G$7:$G$200)),ROW(60:60))-6,1),"")</f>
        <v/>
      </c>
      <c r="G64" t="str">
        <f>IFERROR(VLOOKUP(F64,Lista2[],2,FALSE),"")</f>
        <v/>
      </c>
      <c r="H64" s="1" t="str">
        <f>VLOOKUP(Filtro!F64,Comparacao!$G$7:$J$200,3,FALSE)</f>
        <v/>
      </c>
      <c r="I64" s="1" t="str">
        <f>VLOOKUP(Filtro!F64,Comparacao!$G$7:$J$200,4,FALSE)</f>
        <v/>
      </c>
    </row>
    <row r="65" spans="1:9" x14ac:dyDescent="0.25">
      <c r="A65" s="3" t="str">
        <f t="array" ref="A65">IFERROR(INDEX(Comparacao!$A$7:$A$200,SMALL(IF(Comparacao!$E$7:$E$200=$A$2,ROW(Comparacao!$A$7:$A$200)),ROW(61:61))-6,1),"")</f>
        <v/>
      </c>
      <c r="B65" s="3" t="str">
        <f>IFERROR(VLOOKUP(A65,Lista1[],2,FALSE),"")</f>
        <v/>
      </c>
      <c r="C65" s="1" t="str">
        <f>VLOOKUP(Filtro!A65,Comparacao!$A$7:$D$200,3,FALSE)</f>
        <v/>
      </c>
      <c r="D65" s="1" t="str">
        <f>VLOOKUP(Filtro!A65,Comparacao!$A$7:$D$200,4,FALSE)</f>
        <v/>
      </c>
      <c r="F65" t="str">
        <f t="array" ref="F65">IFERROR(INDEX(Comparacao!$G$7:$G$200,SMALL(IF(Comparacao!$K$7:$K$200=$A$2,ROW(Comparacao!$G$7:$G$200)),ROW(61:61))-6,1),"")</f>
        <v/>
      </c>
      <c r="G65" t="str">
        <f>IFERROR(VLOOKUP(F65,Lista2[],2,FALSE),"")</f>
        <v/>
      </c>
      <c r="H65" s="1" t="str">
        <f>VLOOKUP(Filtro!F65,Comparacao!$G$7:$J$200,3,FALSE)</f>
        <v/>
      </c>
      <c r="I65" s="1" t="str">
        <f>VLOOKUP(Filtro!F65,Comparacao!$G$7:$J$200,4,FALSE)</f>
        <v/>
      </c>
    </row>
    <row r="66" spans="1:9" x14ac:dyDescent="0.25">
      <c r="A66" s="3" t="str">
        <f t="array" ref="A66">IFERROR(INDEX(Comparacao!$A$7:$A$200,SMALL(IF(Comparacao!$E$7:$E$200=$A$2,ROW(Comparacao!$A$7:$A$200)),ROW(62:62))-6,1),"")</f>
        <v/>
      </c>
      <c r="B66" s="3" t="str">
        <f>IFERROR(VLOOKUP(A66,Lista1[],2,FALSE),"")</f>
        <v/>
      </c>
      <c r="C66" s="1" t="str">
        <f>VLOOKUP(Filtro!A66,Comparacao!$A$7:$D$200,3,FALSE)</f>
        <v/>
      </c>
      <c r="D66" s="1" t="str">
        <f>VLOOKUP(Filtro!A66,Comparacao!$A$7:$D$200,4,FALSE)</f>
        <v/>
      </c>
      <c r="F66" t="str">
        <f t="array" ref="F66">IFERROR(INDEX(Comparacao!$G$7:$G$200,SMALL(IF(Comparacao!$K$7:$K$200=$A$2,ROW(Comparacao!$G$7:$G$200)),ROW(62:62))-6,1),"")</f>
        <v/>
      </c>
      <c r="G66" t="str">
        <f>IFERROR(VLOOKUP(F66,Lista2[],2,FALSE),"")</f>
        <v/>
      </c>
      <c r="H66" s="1" t="str">
        <f>VLOOKUP(Filtro!F66,Comparacao!$G$7:$J$200,3,FALSE)</f>
        <v/>
      </c>
      <c r="I66" s="1" t="str">
        <f>VLOOKUP(Filtro!F66,Comparacao!$G$7:$J$200,4,FALSE)</f>
        <v/>
      </c>
    </row>
    <row r="67" spans="1:9" x14ac:dyDescent="0.25">
      <c r="A67" s="3" t="str">
        <f t="array" ref="A67">IFERROR(INDEX(Comparacao!$A$7:$A$200,SMALL(IF(Comparacao!$E$7:$E$200=$A$2,ROW(Comparacao!$A$7:$A$200)),ROW(63:63))-6,1),"")</f>
        <v/>
      </c>
      <c r="B67" s="3" t="str">
        <f>IFERROR(VLOOKUP(A67,Lista1[],2,FALSE),"")</f>
        <v/>
      </c>
      <c r="C67" s="1" t="str">
        <f>VLOOKUP(Filtro!A67,Comparacao!$A$7:$D$200,3,FALSE)</f>
        <v/>
      </c>
      <c r="D67" s="1" t="str">
        <f>VLOOKUP(Filtro!A67,Comparacao!$A$7:$D$200,4,FALSE)</f>
        <v/>
      </c>
      <c r="F67" t="str">
        <f t="array" ref="F67">IFERROR(INDEX(Comparacao!$G$7:$G$200,SMALL(IF(Comparacao!$K$7:$K$200=$A$2,ROW(Comparacao!$G$7:$G$200)),ROW(63:63))-6,1),"")</f>
        <v/>
      </c>
      <c r="G67" t="str">
        <f>IFERROR(VLOOKUP(F67,Lista2[],2,FALSE),"")</f>
        <v/>
      </c>
      <c r="H67" s="1" t="str">
        <f>VLOOKUP(Filtro!F67,Comparacao!$G$7:$J$200,3,FALSE)</f>
        <v/>
      </c>
      <c r="I67" s="1" t="str">
        <f>VLOOKUP(Filtro!F67,Comparacao!$G$7:$J$200,4,FALSE)</f>
        <v/>
      </c>
    </row>
    <row r="68" spans="1:9" x14ac:dyDescent="0.25">
      <c r="A68" s="3" t="str">
        <f t="array" ref="A68">IFERROR(INDEX(Comparacao!$A$7:$A$200,SMALL(IF(Comparacao!$E$7:$E$200=$A$2,ROW(Comparacao!$A$7:$A$200)),ROW(64:64))-6,1),"")</f>
        <v/>
      </c>
      <c r="B68" s="3" t="str">
        <f>IFERROR(VLOOKUP(A68,Lista1[],2,FALSE),"")</f>
        <v/>
      </c>
      <c r="C68" s="1" t="str">
        <f>VLOOKUP(Filtro!A68,Comparacao!$A$7:$D$200,3,FALSE)</f>
        <v/>
      </c>
      <c r="D68" s="1" t="str">
        <f>VLOOKUP(Filtro!A68,Comparacao!$A$7:$D$200,4,FALSE)</f>
        <v/>
      </c>
      <c r="F68" t="str">
        <f t="array" ref="F68">IFERROR(INDEX(Comparacao!$G$7:$G$200,SMALL(IF(Comparacao!$K$7:$K$200=$A$2,ROW(Comparacao!$G$7:$G$200)),ROW(64:64))-6,1),"")</f>
        <v/>
      </c>
      <c r="G68" t="str">
        <f>IFERROR(VLOOKUP(F68,Lista2[],2,FALSE),"")</f>
        <v/>
      </c>
      <c r="H68" s="1" t="str">
        <f>VLOOKUP(Filtro!F68,Comparacao!$G$7:$J$200,3,FALSE)</f>
        <v/>
      </c>
      <c r="I68" s="1" t="str">
        <f>VLOOKUP(Filtro!F68,Comparacao!$G$7:$J$200,4,FALSE)</f>
        <v/>
      </c>
    </row>
    <row r="69" spans="1:9" x14ac:dyDescent="0.25">
      <c r="A69" s="3" t="str">
        <f t="array" ref="A69">IFERROR(INDEX(Comparacao!$A$7:$A$200,SMALL(IF(Comparacao!$E$7:$E$200=$A$2,ROW(Comparacao!$A$7:$A$200)),ROW(65:65))-6,1),"")</f>
        <v/>
      </c>
      <c r="B69" s="3" t="str">
        <f>IFERROR(VLOOKUP(A69,Lista1[],2,FALSE),"")</f>
        <v/>
      </c>
      <c r="C69" s="1" t="str">
        <f>VLOOKUP(Filtro!A69,Comparacao!$A$7:$D$200,3,FALSE)</f>
        <v/>
      </c>
      <c r="D69" s="1" t="str">
        <f>VLOOKUP(Filtro!A69,Comparacao!$A$7:$D$200,4,FALSE)</f>
        <v/>
      </c>
      <c r="F69" t="str">
        <f t="array" ref="F69">IFERROR(INDEX(Comparacao!$G$7:$G$200,SMALL(IF(Comparacao!$K$7:$K$200=$A$2,ROW(Comparacao!$G$7:$G$200)),ROW(65:65))-6,1),"")</f>
        <v/>
      </c>
      <c r="G69" t="str">
        <f>IFERROR(VLOOKUP(F69,Lista2[],2,FALSE),"")</f>
        <v/>
      </c>
      <c r="H69" s="1" t="str">
        <f>VLOOKUP(Filtro!F69,Comparacao!$G$7:$J$200,3,FALSE)</f>
        <v/>
      </c>
      <c r="I69" s="1" t="str">
        <f>VLOOKUP(Filtro!F69,Comparacao!$G$7:$J$200,4,FALSE)</f>
        <v/>
      </c>
    </row>
    <row r="70" spans="1:9" x14ac:dyDescent="0.25">
      <c r="A70" s="3" t="str">
        <f t="array" ref="A70">IFERROR(INDEX(Comparacao!$A$7:$A$200,SMALL(IF(Comparacao!$E$7:$E$200=$A$2,ROW(Comparacao!$A$7:$A$200)),ROW(66:66))-6,1),"")</f>
        <v/>
      </c>
      <c r="B70" s="3" t="str">
        <f>IFERROR(VLOOKUP(A70,Lista1[],2,FALSE),"")</f>
        <v/>
      </c>
      <c r="C70" s="1" t="str">
        <f>VLOOKUP(Filtro!A70,Comparacao!$A$7:$D$200,3,FALSE)</f>
        <v/>
      </c>
      <c r="D70" s="1" t="str">
        <f>VLOOKUP(Filtro!A70,Comparacao!$A$7:$D$200,4,FALSE)</f>
        <v/>
      </c>
      <c r="F70" t="str">
        <f t="array" ref="F70">IFERROR(INDEX(Comparacao!$G$7:$G$200,SMALL(IF(Comparacao!$K$7:$K$200=$A$2,ROW(Comparacao!$G$7:$G$200)),ROW(66:66))-6,1),"")</f>
        <v/>
      </c>
      <c r="G70" t="str">
        <f>IFERROR(VLOOKUP(F70,Lista2[],2,FALSE),"")</f>
        <v/>
      </c>
      <c r="H70" s="1" t="str">
        <f>VLOOKUP(Filtro!F70,Comparacao!$G$7:$J$200,3,FALSE)</f>
        <v/>
      </c>
      <c r="I70" s="1" t="str">
        <f>VLOOKUP(Filtro!F70,Comparacao!$G$7:$J$200,4,FALSE)</f>
        <v/>
      </c>
    </row>
    <row r="71" spans="1:9" x14ac:dyDescent="0.25">
      <c r="A71" s="3" t="str">
        <f t="array" ref="A71">IFERROR(INDEX(Comparacao!$A$7:$A$200,SMALL(IF(Comparacao!$E$7:$E$200=$A$2,ROW(Comparacao!$A$7:$A$200)),ROW(67:67))-6,1),"")</f>
        <v/>
      </c>
      <c r="B71" s="3" t="str">
        <f>IFERROR(VLOOKUP(A71,Lista1[],2,FALSE),"")</f>
        <v/>
      </c>
      <c r="C71" s="1" t="str">
        <f>VLOOKUP(Filtro!A71,Comparacao!$A$7:$D$200,3,FALSE)</f>
        <v/>
      </c>
      <c r="D71" s="1" t="str">
        <f>VLOOKUP(Filtro!A71,Comparacao!$A$7:$D$200,4,FALSE)</f>
        <v/>
      </c>
      <c r="F71" t="str">
        <f t="array" ref="F71">IFERROR(INDEX(Comparacao!$G$7:$G$200,SMALL(IF(Comparacao!$K$7:$K$200=$A$2,ROW(Comparacao!$G$7:$G$200)),ROW(67:67))-6,1),"")</f>
        <v/>
      </c>
      <c r="G71" t="str">
        <f>IFERROR(VLOOKUP(F71,Lista2[],2,FALSE),"")</f>
        <v/>
      </c>
      <c r="H71" s="1" t="str">
        <f>VLOOKUP(Filtro!F71,Comparacao!$G$7:$J$200,3,FALSE)</f>
        <v/>
      </c>
      <c r="I71" s="1" t="str">
        <f>VLOOKUP(Filtro!F71,Comparacao!$G$7:$J$200,4,FALSE)</f>
        <v/>
      </c>
    </row>
    <row r="72" spans="1:9" x14ac:dyDescent="0.25">
      <c r="A72" s="3" t="str">
        <f t="array" ref="A72">IFERROR(INDEX(Comparacao!$A$7:$A$200,SMALL(IF(Comparacao!$E$7:$E$200=$A$2,ROW(Comparacao!$A$7:$A$200)),ROW(68:68))-6,1),"")</f>
        <v/>
      </c>
      <c r="B72" s="3" t="str">
        <f>IFERROR(VLOOKUP(A72,Lista1[],2,FALSE),"")</f>
        <v/>
      </c>
      <c r="C72" s="1" t="str">
        <f>VLOOKUP(Filtro!A72,Comparacao!$A$7:$D$200,3,FALSE)</f>
        <v/>
      </c>
      <c r="D72" s="1" t="str">
        <f>VLOOKUP(Filtro!A72,Comparacao!$A$7:$D$200,4,FALSE)</f>
        <v/>
      </c>
      <c r="F72" t="str">
        <f t="array" ref="F72">IFERROR(INDEX(Comparacao!$G$7:$G$200,SMALL(IF(Comparacao!$K$7:$K$200=$A$2,ROW(Comparacao!$G$7:$G$200)),ROW(68:68))-6,1),"")</f>
        <v/>
      </c>
      <c r="G72" t="str">
        <f>IFERROR(VLOOKUP(F72,Lista2[],2,FALSE),"")</f>
        <v/>
      </c>
      <c r="H72" s="1" t="str">
        <f>VLOOKUP(Filtro!F72,Comparacao!$G$7:$J$200,3,FALSE)</f>
        <v/>
      </c>
      <c r="I72" s="1" t="str">
        <f>VLOOKUP(Filtro!F72,Comparacao!$G$7:$J$200,4,FALSE)</f>
        <v/>
      </c>
    </row>
    <row r="73" spans="1:9" x14ac:dyDescent="0.25">
      <c r="A73" s="3" t="str">
        <f t="array" ref="A73">IFERROR(INDEX(Comparacao!$A$7:$A$200,SMALL(IF(Comparacao!$E$7:$E$200=$A$2,ROW(Comparacao!$A$7:$A$200)),ROW(69:69))-6,1),"")</f>
        <v/>
      </c>
      <c r="B73" s="3" t="str">
        <f>IFERROR(VLOOKUP(A73,Lista1[],2,FALSE),"")</f>
        <v/>
      </c>
      <c r="C73" s="1" t="str">
        <f>VLOOKUP(Filtro!A73,Comparacao!$A$7:$D$200,3,FALSE)</f>
        <v/>
      </c>
      <c r="D73" s="1" t="str">
        <f>VLOOKUP(Filtro!A73,Comparacao!$A$7:$D$200,4,FALSE)</f>
        <v/>
      </c>
      <c r="F73" t="str">
        <f t="array" ref="F73">IFERROR(INDEX(Comparacao!$G$7:$G$200,SMALL(IF(Comparacao!$K$7:$K$200=$A$2,ROW(Comparacao!$G$7:$G$200)),ROW(69:69))-6,1),"")</f>
        <v/>
      </c>
      <c r="G73" t="str">
        <f>IFERROR(VLOOKUP(F73,Lista2[],2,FALSE),"")</f>
        <v/>
      </c>
      <c r="H73" s="1" t="str">
        <f>VLOOKUP(Filtro!F73,Comparacao!$G$7:$J$200,3,FALSE)</f>
        <v/>
      </c>
      <c r="I73" s="1" t="str">
        <f>VLOOKUP(Filtro!F73,Comparacao!$G$7:$J$200,4,FALSE)</f>
        <v/>
      </c>
    </row>
    <row r="74" spans="1:9" x14ac:dyDescent="0.25">
      <c r="A74" s="3" t="str">
        <f t="array" ref="A74">IFERROR(INDEX(Comparacao!$A$7:$A$200,SMALL(IF(Comparacao!$E$7:$E$200=$A$2,ROW(Comparacao!$A$7:$A$200)),ROW(70:70))-6,1),"")</f>
        <v/>
      </c>
      <c r="B74" s="3" t="str">
        <f>IFERROR(VLOOKUP(A74,Lista1[],2,FALSE),"")</f>
        <v/>
      </c>
      <c r="C74" s="1" t="str">
        <f>VLOOKUP(Filtro!A74,Comparacao!$A$7:$D$200,3,FALSE)</f>
        <v/>
      </c>
      <c r="D74" s="1" t="str">
        <f>VLOOKUP(Filtro!A74,Comparacao!$A$7:$D$200,4,FALSE)</f>
        <v/>
      </c>
      <c r="F74" t="str">
        <f t="array" ref="F74">IFERROR(INDEX(Comparacao!$G$7:$G$200,SMALL(IF(Comparacao!$K$7:$K$200=$A$2,ROW(Comparacao!$G$7:$G$200)),ROW(70:70))-6,1),"")</f>
        <v/>
      </c>
      <c r="G74" t="str">
        <f>IFERROR(VLOOKUP(F74,Lista2[],2,FALSE),"")</f>
        <v/>
      </c>
      <c r="H74" s="1" t="str">
        <f>VLOOKUP(Filtro!F74,Comparacao!$G$7:$J$200,3,FALSE)</f>
        <v/>
      </c>
      <c r="I74" s="1" t="str">
        <f>VLOOKUP(Filtro!F74,Comparacao!$G$7:$J$200,4,FALSE)</f>
        <v/>
      </c>
    </row>
    <row r="75" spans="1:9" x14ac:dyDescent="0.25">
      <c r="A75" s="3" t="str">
        <f t="array" ref="A75">IFERROR(INDEX(Comparacao!$A$7:$A$200,SMALL(IF(Comparacao!$E$7:$E$200=$A$2,ROW(Comparacao!$A$7:$A$200)),ROW(71:71))-6,1),"")</f>
        <v/>
      </c>
      <c r="B75" s="3" t="str">
        <f>IFERROR(VLOOKUP(A75,Lista1[],2,FALSE),"")</f>
        <v/>
      </c>
      <c r="C75" s="1" t="str">
        <f>VLOOKUP(Filtro!A75,Comparacao!$A$7:$D$200,3,FALSE)</f>
        <v/>
      </c>
      <c r="D75" s="1" t="str">
        <f>VLOOKUP(Filtro!A75,Comparacao!$A$7:$D$200,4,FALSE)</f>
        <v/>
      </c>
      <c r="F75" t="str">
        <f t="array" ref="F75">IFERROR(INDEX(Comparacao!$G$7:$G$200,SMALL(IF(Comparacao!$K$7:$K$200=$A$2,ROW(Comparacao!$G$7:$G$200)),ROW(71:71))-6,1),"")</f>
        <v/>
      </c>
      <c r="G75" t="str">
        <f>IFERROR(VLOOKUP(F75,Lista2[],2,FALSE),"")</f>
        <v/>
      </c>
      <c r="H75" s="1" t="str">
        <f>VLOOKUP(Filtro!F75,Comparacao!$G$7:$J$200,3,FALSE)</f>
        <v/>
      </c>
      <c r="I75" s="1" t="str">
        <f>VLOOKUP(Filtro!F75,Comparacao!$G$7:$J$200,4,FALSE)</f>
        <v/>
      </c>
    </row>
    <row r="76" spans="1:9" x14ac:dyDescent="0.25">
      <c r="A76" s="3" t="str">
        <f t="array" ref="A76">IFERROR(INDEX(Comparacao!$A$7:$A$200,SMALL(IF(Comparacao!$E$7:$E$200=$A$2,ROW(Comparacao!$A$7:$A$200)),ROW(72:72))-6,1),"")</f>
        <v/>
      </c>
      <c r="B76" s="3" t="str">
        <f>IFERROR(VLOOKUP(A76,Lista1[],2,FALSE),"")</f>
        <v/>
      </c>
      <c r="C76" s="1" t="str">
        <f>VLOOKUP(Filtro!A76,Comparacao!$A$7:$D$200,3,FALSE)</f>
        <v/>
      </c>
      <c r="D76" s="1" t="str">
        <f>VLOOKUP(Filtro!A76,Comparacao!$A$7:$D$200,4,FALSE)</f>
        <v/>
      </c>
      <c r="F76" t="str">
        <f t="array" ref="F76">IFERROR(INDEX(Comparacao!$G$7:$G$200,SMALL(IF(Comparacao!$K$7:$K$200=$A$2,ROW(Comparacao!$G$7:$G$200)),ROW(72:72))-6,1),"")</f>
        <v/>
      </c>
      <c r="G76" t="str">
        <f>IFERROR(VLOOKUP(F76,Lista2[],2,FALSE),"")</f>
        <v/>
      </c>
      <c r="H76" s="1" t="str">
        <f>VLOOKUP(Filtro!F76,Comparacao!$G$7:$J$200,3,FALSE)</f>
        <v/>
      </c>
      <c r="I76" s="1" t="str">
        <f>VLOOKUP(Filtro!F76,Comparacao!$G$7:$J$200,4,FALSE)</f>
        <v/>
      </c>
    </row>
    <row r="77" spans="1:9" x14ac:dyDescent="0.25">
      <c r="A77" s="3" t="str">
        <f t="array" ref="A77">IFERROR(INDEX(Comparacao!$A$7:$A$200,SMALL(IF(Comparacao!$E$7:$E$200=$A$2,ROW(Comparacao!$A$7:$A$200)),ROW(73:73))-6,1),"")</f>
        <v/>
      </c>
      <c r="B77" s="3" t="str">
        <f>IFERROR(VLOOKUP(A77,Lista1[],2,FALSE),"")</f>
        <v/>
      </c>
      <c r="C77" s="1" t="str">
        <f>VLOOKUP(Filtro!A77,Comparacao!$A$7:$D$200,3,FALSE)</f>
        <v/>
      </c>
      <c r="D77" s="1" t="str">
        <f>VLOOKUP(Filtro!A77,Comparacao!$A$7:$D$200,4,FALSE)</f>
        <v/>
      </c>
      <c r="F77" t="str">
        <f t="array" ref="F77">IFERROR(INDEX(Comparacao!$G$7:$G$200,SMALL(IF(Comparacao!$K$7:$K$200=$A$2,ROW(Comparacao!$G$7:$G$200)),ROW(73:73))-6,1),"")</f>
        <v/>
      </c>
      <c r="G77" t="str">
        <f>IFERROR(VLOOKUP(F77,Lista2[],2,FALSE),"")</f>
        <v/>
      </c>
      <c r="H77" s="1" t="str">
        <f>VLOOKUP(Filtro!F77,Comparacao!$G$7:$J$200,3,FALSE)</f>
        <v/>
      </c>
      <c r="I77" s="1" t="str">
        <f>VLOOKUP(Filtro!F77,Comparacao!$G$7:$J$200,4,FALSE)</f>
        <v/>
      </c>
    </row>
    <row r="78" spans="1:9" x14ac:dyDescent="0.25">
      <c r="A78" s="3" t="str">
        <f t="array" ref="A78">IFERROR(INDEX(Comparacao!$A$7:$A$200,SMALL(IF(Comparacao!$E$7:$E$200=$A$2,ROW(Comparacao!$A$7:$A$200)),ROW(74:74))-6,1),"")</f>
        <v/>
      </c>
      <c r="B78" s="3" t="str">
        <f>IFERROR(VLOOKUP(A78,Lista1[],2,FALSE),"")</f>
        <v/>
      </c>
      <c r="C78" s="1" t="str">
        <f>VLOOKUP(Filtro!A78,Comparacao!$A$7:$D$200,3,FALSE)</f>
        <v/>
      </c>
      <c r="D78" s="1" t="str">
        <f>VLOOKUP(Filtro!A78,Comparacao!$A$7:$D$200,4,FALSE)</f>
        <v/>
      </c>
      <c r="F78" t="str">
        <f t="array" ref="F78">IFERROR(INDEX(Comparacao!$G$7:$G$200,SMALL(IF(Comparacao!$K$7:$K$200=$A$2,ROW(Comparacao!$G$7:$G$200)),ROW(74:74))-6,1),"")</f>
        <v/>
      </c>
      <c r="G78" t="str">
        <f>IFERROR(VLOOKUP(F78,Lista2[],2,FALSE),"")</f>
        <v/>
      </c>
      <c r="H78" s="1" t="str">
        <f>VLOOKUP(Filtro!F78,Comparacao!$G$7:$J$200,3,FALSE)</f>
        <v/>
      </c>
      <c r="I78" s="1" t="str">
        <f>VLOOKUP(Filtro!F78,Comparacao!$G$7:$J$200,4,FALSE)</f>
        <v/>
      </c>
    </row>
    <row r="79" spans="1:9" x14ac:dyDescent="0.25">
      <c r="A79" s="3" t="str">
        <f t="array" ref="A79">IFERROR(INDEX(Comparacao!$A$7:$A$200,SMALL(IF(Comparacao!$E$7:$E$200=$A$2,ROW(Comparacao!$A$7:$A$200)),ROW(75:75))-6,1),"")</f>
        <v/>
      </c>
      <c r="B79" s="3" t="str">
        <f>IFERROR(VLOOKUP(A79,Lista1[],2,FALSE),"")</f>
        <v/>
      </c>
      <c r="C79" s="1" t="str">
        <f>VLOOKUP(Filtro!A79,Comparacao!$A$7:$D$200,3,FALSE)</f>
        <v/>
      </c>
      <c r="D79" s="1" t="str">
        <f>VLOOKUP(Filtro!A79,Comparacao!$A$7:$D$200,4,FALSE)</f>
        <v/>
      </c>
      <c r="F79" t="str">
        <f t="array" ref="F79">IFERROR(INDEX(Comparacao!$G$7:$G$200,SMALL(IF(Comparacao!$K$7:$K$200=$A$2,ROW(Comparacao!$G$7:$G$200)),ROW(75:75))-6,1),"")</f>
        <v/>
      </c>
      <c r="G79" t="str">
        <f>IFERROR(VLOOKUP(F79,Lista2[],2,FALSE),"")</f>
        <v/>
      </c>
      <c r="H79" s="1" t="str">
        <f>VLOOKUP(Filtro!F79,Comparacao!$G$7:$J$200,3,FALSE)</f>
        <v/>
      </c>
      <c r="I79" s="1" t="str">
        <f>VLOOKUP(Filtro!F79,Comparacao!$G$7:$J$200,4,FALSE)</f>
        <v/>
      </c>
    </row>
    <row r="80" spans="1:9" x14ac:dyDescent="0.25">
      <c r="A80" s="3" t="str">
        <f t="array" ref="A80">IFERROR(INDEX(Comparacao!$A$7:$A$200,SMALL(IF(Comparacao!$E$7:$E$200=$A$2,ROW(Comparacao!$A$7:$A$200)),ROW(76:76))-6,1),"")</f>
        <v/>
      </c>
      <c r="B80" s="3" t="str">
        <f>IFERROR(VLOOKUP(A80,Lista1[],2,FALSE),"")</f>
        <v/>
      </c>
      <c r="C80" s="1" t="str">
        <f>VLOOKUP(Filtro!A80,Comparacao!$A$7:$D$200,3,FALSE)</f>
        <v/>
      </c>
      <c r="D80" s="1" t="str">
        <f>VLOOKUP(Filtro!A80,Comparacao!$A$7:$D$200,4,FALSE)</f>
        <v/>
      </c>
      <c r="F80" t="str">
        <f t="array" ref="F80">IFERROR(INDEX(Comparacao!$G$7:$G$200,SMALL(IF(Comparacao!$K$7:$K$200=$A$2,ROW(Comparacao!$G$7:$G$200)),ROW(76:76))-6,1),"")</f>
        <v/>
      </c>
      <c r="G80" t="str">
        <f>IFERROR(VLOOKUP(F80,Lista2[],2,FALSE),"")</f>
        <v/>
      </c>
      <c r="H80" s="1" t="str">
        <f>VLOOKUP(Filtro!F80,Comparacao!$G$7:$J$200,3,FALSE)</f>
        <v/>
      </c>
      <c r="I80" s="1" t="str">
        <f>VLOOKUP(Filtro!F80,Comparacao!$G$7:$J$200,4,FALSE)</f>
        <v/>
      </c>
    </row>
    <row r="81" spans="1:9" x14ac:dyDescent="0.25">
      <c r="A81" s="3" t="str">
        <f t="array" ref="A81">IFERROR(INDEX(Comparacao!$A$7:$A$200,SMALL(IF(Comparacao!$E$7:$E$200=$A$2,ROW(Comparacao!$A$7:$A$200)),ROW(77:77))-6,1),"")</f>
        <v/>
      </c>
      <c r="B81" s="3" t="str">
        <f>IFERROR(VLOOKUP(A81,Lista1[],2,FALSE),"")</f>
        <v/>
      </c>
      <c r="C81" s="1" t="str">
        <f>VLOOKUP(Filtro!A81,Comparacao!$A$7:$D$200,3,FALSE)</f>
        <v/>
      </c>
      <c r="D81" s="1" t="str">
        <f>VLOOKUP(Filtro!A81,Comparacao!$A$7:$D$200,4,FALSE)</f>
        <v/>
      </c>
      <c r="F81" t="str">
        <f t="array" ref="F81">IFERROR(INDEX(Comparacao!$G$7:$G$200,SMALL(IF(Comparacao!$K$7:$K$200=$A$2,ROW(Comparacao!$G$7:$G$200)),ROW(77:77))-6,1),"")</f>
        <v/>
      </c>
      <c r="G81" t="str">
        <f>IFERROR(VLOOKUP(F81,Lista2[],2,FALSE),"")</f>
        <v/>
      </c>
      <c r="H81" s="1" t="str">
        <f>VLOOKUP(Filtro!F81,Comparacao!$G$7:$J$200,3,FALSE)</f>
        <v/>
      </c>
      <c r="I81" s="1" t="str">
        <f>VLOOKUP(Filtro!F81,Comparacao!$G$7:$J$200,4,FALSE)</f>
        <v/>
      </c>
    </row>
    <row r="82" spans="1:9" x14ac:dyDescent="0.25">
      <c r="A82" s="3" t="str">
        <f t="array" ref="A82">IFERROR(INDEX(Comparacao!$A$7:$A$200,SMALL(IF(Comparacao!$E$7:$E$200=$A$2,ROW(Comparacao!$A$7:$A$200)),ROW(78:78))-6,1),"")</f>
        <v/>
      </c>
      <c r="B82" s="3" t="str">
        <f>IFERROR(VLOOKUP(A82,Lista1[],2,FALSE),"")</f>
        <v/>
      </c>
      <c r="C82" s="1" t="str">
        <f>VLOOKUP(Filtro!A82,Comparacao!$A$7:$D$200,3,FALSE)</f>
        <v/>
      </c>
      <c r="D82" s="1" t="str">
        <f>VLOOKUP(Filtro!A82,Comparacao!$A$7:$D$200,4,FALSE)</f>
        <v/>
      </c>
      <c r="F82" t="str">
        <f t="array" ref="F82">IFERROR(INDEX(Comparacao!$G$7:$G$200,SMALL(IF(Comparacao!$K$7:$K$200=$A$2,ROW(Comparacao!$G$7:$G$200)),ROW(78:78))-6,1),"")</f>
        <v/>
      </c>
      <c r="G82" t="str">
        <f>IFERROR(VLOOKUP(F82,Lista2[],2,FALSE),"")</f>
        <v/>
      </c>
      <c r="H82" s="1" t="str">
        <f>VLOOKUP(Filtro!F82,Comparacao!$G$7:$J$200,3,FALSE)</f>
        <v/>
      </c>
      <c r="I82" s="1" t="str">
        <f>VLOOKUP(Filtro!F82,Comparacao!$G$7:$J$200,4,FALSE)</f>
        <v/>
      </c>
    </row>
    <row r="83" spans="1:9" x14ac:dyDescent="0.25">
      <c r="A83" s="3" t="str">
        <f t="array" ref="A83">IFERROR(INDEX(Comparacao!$A$7:$A$200,SMALL(IF(Comparacao!$E$7:$E$200=$A$2,ROW(Comparacao!$A$7:$A$200)),ROW(79:79))-6,1),"")</f>
        <v/>
      </c>
      <c r="B83" s="3" t="str">
        <f>IFERROR(VLOOKUP(A83,Lista1[],2,FALSE),"")</f>
        <v/>
      </c>
      <c r="C83" s="1" t="str">
        <f>VLOOKUP(Filtro!A83,Comparacao!$A$7:$D$200,3,FALSE)</f>
        <v/>
      </c>
      <c r="D83" s="1" t="str">
        <f>VLOOKUP(Filtro!A83,Comparacao!$A$7:$D$200,4,FALSE)</f>
        <v/>
      </c>
      <c r="F83" t="str">
        <f t="array" ref="F83">IFERROR(INDEX(Comparacao!$G$7:$G$200,SMALL(IF(Comparacao!$K$7:$K$200=$A$2,ROW(Comparacao!$G$7:$G$200)),ROW(79:79))-6,1),"")</f>
        <v/>
      </c>
      <c r="G83" t="str">
        <f>IFERROR(VLOOKUP(F83,Lista2[],2,FALSE),"")</f>
        <v/>
      </c>
      <c r="H83" s="1" t="str">
        <f>VLOOKUP(Filtro!F83,Comparacao!$G$7:$J$200,3,FALSE)</f>
        <v/>
      </c>
      <c r="I83" s="1" t="str">
        <f>VLOOKUP(Filtro!F83,Comparacao!$G$7:$J$200,4,FALSE)</f>
        <v/>
      </c>
    </row>
    <row r="84" spans="1:9" x14ac:dyDescent="0.25">
      <c r="A84" s="3" t="str">
        <f t="array" ref="A84">IFERROR(INDEX(Comparacao!$A$7:$A$200,SMALL(IF(Comparacao!$E$7:$E$200=$A$2,ROW(Comparacao!$A$7:$A$200)),ROW(80:80))-6,1),"")</f>
        <v/>
      </c>
      <c r="B84" s="3" t="str">
        <f>IFERROR(VLOOKUP(A84,Lista1[],2,FALSE),"")</f>
        <v/>
      </c>
      <c r="C84" s="1" t="str">
        <f>VLOOKUP(Filtro!A84,Comparacao!$A$7:$D$200,3,FALSE)</f>
        <v/>
      </c>
      <c r="D84" s="1" t="str">
        <f>VLOOKUP(Filtro!A84,Comparacao!$A$7:$D$200,4,FALSE)</f>
        <v/>
      </c>
      <c r="F84" t="str">
        <f t="array" ref="F84">IFERROR(INDEX(Comparacao!$G$7:$G$200,SMALL(IF(Comparacao!$K$7:$K$200=$A$2,ROW(Comparacao!$G$7:$G$200)),ROW(80:80))-6,1),"")</f>
        <v/>
      </c>
      <c r="G84" t="str">
        <f>IFERROR(VLOOKUP(F84,Lista2[],2,FALSE),"")</f>
        <v/>
      </c>
      <c r="H84" s="1" t="str">
        <f>VLOOKUP(Filtro!F84,Comparacao!$G$7:$J$200,3,FALSE)</f>
        <v/>
      </c>
      <c r="I84" s="1" t="str">
        <f>VLOOKUP(Filtro!F84,Comparacao!$G$7:$J$200,4,FALSE)</f>
        <v/>
      </c>
    </row>
    <row r="85" spans="1:9" x14ac:dyDescent="0.25">
      <c r="A85" s="3" t="str">
        <f t="array" ref="A85">IFERROR(INDEX(Comparacao!$A$7:$A$200,SMALL(IF(Comparacao!$E$7:$E$200=$A$2,ROW(Comparacao!$A$7:$A$200)),ROW(81:81))-6,1),"")</f>
        <v/>
      </c>
      <c r="B85" s="3" t="str">
        <f>IFERROR(VLOOKUP(A85,Lista1[],2,FALSE),"")</f>
        <v/>
      </c>
      <c r="C85" s="1" t="str">
        <f>VLOOKUP(Filtro!A85,Comparacao!$A$7:$D$200,3,FALSE)</f>
        <v/>
      </c>
      <c r="D85" s="1" t="str">
        <f>VLOOKUP(Filtro!A85,Comparacao!$A$7:$D$200,4,FALSE)</f>
        <v/>
      </c>
      <c r="F85" t="str">
        <f t="array" ref="F85">IFERROR(INDEX(Comparacao!$G$7:$G$200,SMALL(IF(Comparacao!$K$7:$K$200=$A$2,ROW(Comparacao!$G$7:$G$200)),ROW(81:81))-6,1),"")</f>
        <v/>
      </c>
      <c r="G85" t="str">
        <f>IFERROR(VLOOKUP(F85,Lista2[],2,FALSE),"")</f>
        <v/>
      </c>
      <c r="H85" s="1" t="str">
        <f>VLOOKUP(Filtro!F85,Comparacao!$G$7:$J$200,3,FALSE)</f>
        <v/>
      </c>
      <c r="I85" s="1" t="str">
        <f>VLOOKUP(Filtro!F85,Comparacao!$G$7:$J$200,4,FALSE)</f>
        <v/>
      </c>
    </row>
    <row r="86" spans="1:9" x14ac:dyDescent="0.25">
      <c r="A86" s="3" t="str">
        <f t="array" ref="A86">IFERROR(INDEX(Comparacao!$A$7:$A$200,SMALL(IF(Comparacao!$E$7:$E$200=$A$2,ROW(Comparacao!$A$7:$A$200)),ROW(82:82))-6,1),"")</f>
        <v/>
      </c>
      <c r="B86" s="3" t="str">
        <f>IFERROR(VLOOKUP(A86,Lista1[],2,FALSE),"")</f>
        <v/>
      </c>
      <c r="C86" s="1" t="str">
        <f>VLOOKUP(Filtro!A86,Comparacao!$A$7:$D$200,3,FALSE)</f>
        <v/>
      </c>
      <c r="D86" s="1" t="str">
        <f>VLOOKUP(Filtro!A86,Comparacao!$A$7:$D$200,4,FALSE)</f>
        <v/>
      </c>
      <c r="F86" t="str">
        <f t="array" ref="F86">IFERROR(INDEX(Comparacao!$G$7:$G$200,SMALL(IF(Comparacao!$K$7:$K$200=$A$2,ROW(Comparacao!$G$7:$G$200)),ROW(82:82))-6,1),"")</f>
        <v/>
      </c>
      <c r="G86" t="str">
        <f>IFERROR(VLOOKUP(F86,Lista2[],2,FALSE),"")</f>
        <v/>
      </c>
      <c r="H86" s="1" t="str">
        <f>VLOOKUP(Filtro!F86,Comparacao!$G$7:$J$200,3,FALSE)</f>
        <v/>
      </c>
      <c r="I86" s="1" t="str">
        <f>VLOOKUP(Filtro!F86,Comparacao!$G$7:$J$200,4,FALSE)</f>
        <v/>
      </c>
    </row>
    <row r="87" spans="1:9" x14ac:dyDescent="0.25">
      <c r="A87" s="3" t="str">
        <f t="array" ref="A87">IFERROR(INDEX(Comparacao!$A$7:$A$200,SMALL(IF(Comparacao!$E$7:$E$200=$A$2,ROW(Comparacao!$A$7:$A$200)),ROW(83:83))-6,1),"")</f>
        <v/>
      </c>
      <c r="B87" s="3" t="str">
        <f>IFERROR(VLOOKUP(A87,Lista1[],2,FALSE),"")</f>
        <v/>
      </c>
      <c r="C87" s="1" t="str">
        <f>VLOOKUP(Filtro!A87,Comparacao!$A$7:$D$200,3,FALSE)</f>
        <v/>
      </c>
      <c r="D87" s="1" t="str">
        <f>VLOOKUP(Filtro!A87,Comparacao!$A$7:$D$200,4,FALSE)</f>
        <v/>
      </c>
      <c r="F87" t="str">
        <f t="array" ref="F87">IFERROR(INDEX(Comparacao!$G$7:$G$200,SMALL(IF(Comparacao!$K$7:$K$200=$A$2,ROW(Comparacao!$G$7:$G$200)),ROW(83:83))-6,1),"")</f>
        <v/>
      </c>
      <c r="G87" t="str">
        <f>IFERROR(VLOOKUP(F87,Lista2[],2,FALSE),"")</f>
        <v/>
      </c>
      <c r="H87" s="1" t="str">
        <f>VLOOKUP(Filtro!F87,Comparacao!$G$7:$J$200,3,FALSE)</f>
        <v/>
      </c>
      <c r="I87" s="1" t="str">
        <f>VLOOKUP(Filtro!F87,Comparacao!$G$7:$J$200,4,FALSE)</f>
        <v/>
      </c>
    </row>
    <row r="88" spans="1:9" x14ac:dyDescent="0.25">
      <c r="A88" s="3" t="str">
        <f t="array" ref="A88">IFERROR(INDEX(Comparacao!$A$7:$A$200,SMALL(IF(Comparacao!$E$7:$E$200=$A$2,ROW(Comparacao!$A$7:$A$200)),ROW(84:84))-6,1),"")</f>
        <v/>
      </c>
      <c r="B88" s="3" t="str">
        <f>IFERROR(VLOOKUP(A88,Lista1[],2,FALSE),"")</f>
        <v/>
      </c>
      <c r="C88" s="1" t="str">
        <f>VLOOKUP(Filtro!A88,Comparacao!$A$7:$D$200,3,FALSE)</f>
        <v/>
      </c>
      <c r="D88" s="1" t="str">
        <f>VLOOKUP(Filtro!A88,Comparacao!$A$7:$D$200,4,FALSE)</f>
        <v/>
      </c>
      <c r="F88" t="str">
        <f t="array" ref="F88">IFERROR(INDEX(Comparacao!$G$7:$G$200,SMALL(IF(Comparacao!$K$7:$K$200=$A$2,ROW(Comparacao!$G$7:$G$200)),ROW(84:84))-6,1),"")</f>
        <v/>
      </c>
      <c r="G88" t="str">
        <f>IFERROR(VLOOKUP(F88,Lista2[],2,FALSE),"")</f>
        <v/>
      </c>
      <c r="H88" s="1" t="str">
        <f>VLOOKUP(Filtro!F88,Comparacao!$G$7:$J$200,3,FALSE)</f>
        <v/>
      </c>
      <c r="I88" s="1" t="str">
        <f>VLOOKUP(Filtro!F88,Comparacao!$G$7:$J$200,4,FALSE)</f>
        <v/>
      </c>
    </row>
    <row r="89" spans="1:9" x14ac:dyDescent="0.25">
      <c r="A89" s="3" t="str">
        <f t="array" ref="A89">IFERROR(INDEX(Comparacao!$A$7:$A$200,SMALL(IF(Comparacao!$E$7:$E$200=$A$2,ROW(Comparacao!$A$7:$A$200)),ROW(85:85))-6,1),"")</f>
        <v/>
      </c>
      <c r="B89" s="3" t="str">
        <f>IFERROR(VLOOKUP(A89,Lista1[],2,FALSE),"")</f>
        <v/>
      </c>
      <c r="C89" s="1" t="str">
        <f>VLOOKUP(Filtro!A89,Comparacao!$A$7:$D$200,3,FALSE)</f>
        <v/>
      </c>
      <c r="D89" s="1" t="str">
        <f>VLOOKUP(Filtro!A89,Comparacao!$A$7:$D$200,4,FALSE)</f>
        <v/>
      </c>
      <c r="F89" t="str">
        <f t="array" ref="F89">IFERROR(INDEX(Comparacao!$G$7:$G$200,SMALL(IF(Comparacao!$K$7:$K$200=$A$2,ROW(Comparacao!$G$7:$G$200)),ROW(85:85))-6,1),"")</f>
        <v/>
      </c>
      <c r="G89" t="str">
        <f>IFERROR(VLOOKUP(F89,Lista2[],2,FALSE),"")</f>
        <v/>
      </c>
      <c r="H89" s="1" t="str">
        <f>VLOOKUP(Filtro!F89,Comparacao!$G$7:$J$200,3,FALSE)</f>
        <v/>
      </c>
      <c r="I89" s="1" t="str">
        <f>VLOOKUP(Filtro!F89,Comparacao!$G$7:$J$200,4,FALSE)</f>
        <v/>
      </c>
    </row>
    <row r="90" spans="1:9" x14ac:dyDescent="0.25">
      <c r="A90" s="3" t="str">
        <f t="array" ref="A90">IFERROR(INDEX(Comparacao!$A$7:$A$200,SMALL(IF(Comparacao!$E$7:$E$200=$A$2,ROW(Comparacao!$A$7:$A$200)),ROW(86:86))-6,1),"")</f>
        <v/>
      </c>
      <c r="B90" s="3" t="str">
        <f>IFERROR(VLOOKUP(A90,Lista1[],2,FALSE),"")</f>
        <v/>
      </c>
      <c r="C90" s="1" t="str">
        <f>VLOOKUP(Filtro!A90,Comparacao!$A$7:$D$200,3,FALSE)</f>
        <v/>
      </c>
      <c r="D90" s="1" t="str">
        <f>VLOOKUP(Filtro!A90,Comparacao!$A$7:$D$200,4,FALSE)</f>
        <v/>
      </c>
      <c r="F90" t="str">
        <f t="array" ref="F90">IFERROR(INDEX(Comparacao!$G$7:$G$200,SMALL(IF(Comparacao!$K$7:$K$200=$A$2,ROW(Comparacao!$G$7:$G$200)),ROW(86:86))-6,1),"")</f>
        <v/>
      </c>
      <c r="G90" t="str">
        <f>IFERROR(VLOOKUP(F90,Lista2[],2,FALSE),"")</f>
        <v/>
      </c>
      <c r="H90" s="1" t="str">
        <f>VLOOKUP(Filtro!F90,Comparacao!$G$7:$J$200,3,FALSE)</f>
        <v/>
      </c>
      <c r="I90" s="1" t="str">
        <f>VLOOKUP(Filtro!F90,Comparacao!$G$7:$J$200,4,FALSE)</f>
        <v/>
      </c>
    </row>
    <row r="91" spans="1:9" x14ac:dyDescent="0.25">
      <c r="A91" s="3" t="str">
        <f t="array" ref="A91">IFERROR(INDEX(Comparacao!$A$7:$A$200,SMALL(IF(Comparacao!$E$7:$E$200=$A$2,ROW(Comparacao!$A$7:$A$200)),ROW(87:87))-6,1),"")</f>
        <v/>
      </c>
      <c r="B91" s="3" t="str">
        <f>IFERROR(VLOOKUP(A91,Lista1[],2,FALSE),"")</f>
        <v/>
      </c>
      <c r="C91" s="1" t="str">
        <f>VLOOKUP(Filtro!A91,Comparacao!$A$7:$D$200,3,FALSE)</f>
        <v/>
      </c>
      <c r="D91" s="1" t="str">
        <f>VLOOKUP(Filtro!A91,Comparacao!$A$7:$D$200,4,FALSE)</f>
        <v/>
      </c>
      <c r="F91" t="str">
        <f t="array" ref="F91">IFERROR(INDEX(Comparacao!$G$7:$G$200,SMALL(IF(Comparacao!$K$7:$K$200=$A$2,ROW(Comparacao!$G$7:$G$200)),ROW(87:87))-6,1),"")</f>
        <v/>
      </c>
      <c r="G91" t="str">
        <f>IFERROR(VLOOKUP(F91,Lista2[],2,FALSE),"")</f>
        <v/>
      </c>
      <c r="H91" s="1" t="str">
        <f>VLOOKUP(Filtro!F91,Comparacao!$G$7:$J$200,3,FALSE)</f>
        <v/>
      </c>
      <c r="I91" s="1" t="str">
        <f>VLOOKUP(Filtro!F91,Comparacao!$G$7:$J$200,4,FALSE)</f>
        <v/>
      </c>
    </row>
    <row r="92" spans="1:9" x14ac:dyDescent="0.25">
      <c r="A92" s="3" t="str">
        <f t="array" ref="A92">IFERROR(INDEX(Comparacao!$A$7:$A$200,SMALL(IF(Comparacao!$E$7:$E$200=$A$2,ROW(Comparacao!$A$7:$A$200)),ROW(88:88))-6,1),"")</f>
        <v/>
      </c>
      <c r="B92" s="3" t="str">
        <f>IFERROR(VLOOKUP(A92,Lista1[],2,FALSE),"")</f>
        <v/>
      </c>
      <c r="C92" s="1" t="str">
        <f>VLOOKUP(Filtro!A92,Comparacao!$A$7:$D$200,3,FALSE)</f>
        <v/>
      </c>
      <c r="D92" s="1" t="str">
        <f>VLOOKUP(Filtro!A92,Comparacao!$A$7:$D$200,4,FALSE)</f>
        <v/>
      </c>
      <c r="F92" t="str">
        <f t="array" ref="F92">IFERROR(INDEX(Comparacao!$G$7:$G$200,SMALL(IF(Comparacao!$K$7:$K$200=$A$2,ROW(Comparacao!$G$7:$G$200)),ROW(88:88))-6,1),"")</f>
        <v/>
      </c>
      <c r="G92" t="str">
        <f>IFERROR(VLOOKUP(F92,Lista2[],2,FALSE),"")</f>
        <v/>
      </c>
      <c r="H92" s="1" t="str">
        <f>VLOOKUP(Filtro!F92,Comparacao!$G$7:$J$200,3,FALSE)</f>
        <v/>
      </c>
      <c r="I92" s="1" t="str">
        <f>VLOOKUP(Filtro!F92,Comparacao!$G$7:$J$200,4,FALSE)</f>
        <v/>
      </c>
    </row>
    <row r="93" spans="1:9" x14ac:dyDescent="0.25">
      <c r="A93" s="3" t="str">
        <f t="array" ref="A93">IFERROR(INDEX(Comparacao!$A$7:$A$200,SMALL(IF(Comparacao!$E$7:$E$200=$A$2,ROW(Comparacao!$A$7:$A$200)),ROW(89:89))-6,1),"")</f>
        <v/>
      </c>
      <c r="B93" s="3" t="str">
        <f>IFERROR(VLOOKUP(A93,Lista1[],2,FALSE),"")</f>
        <v/>
      </c>
      <c r="C93" s="1" t="str">
        <f>VLOOKUP(Filtro!A93,Comparacao!$A$7:$D$200,3,FALSE)</f>
        <v/>
      </c>
      <c r="D93" s="1" t="str">
        <f>VLOOKUP(Filtro!A93,Comparacao!$A$7:$D$200,4,FALSE)</f>
        <v/>
      </c>
      <c r="F93" t="str">
        <f t="array" ref="F93">IFERROR(INDEX(Comparacao!$G$7:$G$200,SMALL(IF(Comparacao!$K$7:$K$200=$A$2,ROW(Comparacao!$G$7:$G$200)),ROW(89:89))-6,1),"")</f>
        <v/>
      </c>
      <c r="G93" t="str">
        <f>IFERROR(VLOOKUP(F93,Lista2[],2,FALSE),"")</f>
        <v/>
      </c>
      <c r="H93" s="1" t="str">
        <f>VLOOKUP(Filtro!F93,Comparacao!$G$7:$J$200,3,FALSE)</f>
        <v/>
      </c>
      <c r="I93" s="1" t="str">
        <f>VLOOKUP(Filtro!F93,Comparacao!$G$7:$J$200,4,FALSE)</f>
        <v/>
      </c>
    </row>
    <row r="94" spans="1:9" x14ac:dyDescent="0.25">
      <c r="A94" s="3" t="str">
        <f t="array" ref="A94">IFERROR(INDEX(Comparacao!$A$7:$A$200,SMALL(IF(Comparacao!$E$7:$E$200=$A$2,ROW(Comparacao!$A$7:$A$200)),ROW(90:90))-6,1),"")</f>
        <v/>
      </c>
      <c r="B94" s="3" t="str">
        <f>IFERROR(VLOOKUP(A94,Lista1[],2,FALSE),"")</f>
        <v/>
      </c>
      <c r="C94" s="1" t="str">
        <f>VLOOKUP(Filtro!A94,Comparacao!$A$7:$D$200,3,FALSE)</f>
        <v/>
      </c>
      <c r="D94" s="1" t="str">
        <f>VLOOKUP(Filtro!A94,Comparacao!$A$7:$D$200,4,FALSE)</f>
        <v/>
      </c>
      <c r="F94" t="str">
        <f t="array" ref="F94">IFERROR(INDEX(Comparacao!$G$7:$G$200,SMALL(IF(Comparacao!$K$7:$K$200=$A$2,ROW(Comparacao!$G$7:$G$200)),ROW(90:90))-6,1),"")</f>
        <v/>
      </c>
      <c r="G94" t="str">
        <f>IFERROR(VLOOKUP(F94,Lista2[],2,FALSE),"")</f>
        <v/>
      </c>
      <c r="H94" s="1" t="str">
        <f>VLOOKUP(Filtro!F94,Comparacao!$G$7:$J$200,3,FALSE)</f>
        <v/>
      </c>
      <c r="I94" s="1" t="str">
        <f>VLOOKUP(Filtro!F94,Comparacao!$G$7:$J$200,4,FALSE)</f>
        <v/>
      </c>
    </row>
    <row r="95" spans="1:9" x14ac:dyDescent="0.25">
      <c r="A95" s="3" t="str">
        <f t="array" ref="A95">IFERROR(INDEX(Comparacao!$A$7:$A$200,SMALL(IF(Comparacao!$E$7:$E$200=$A$2,ROW(Comparacao!$A$7:$A$200)),ROW(91:91))-6,1),"")</f>
        <v/>
      </c>
      <c r="B95" s="3" t="str">
        <f>IFERROR(VLOOKUP(A95,Lista1[],2,FALSE),"")</f>
        <v/>
      </c>
      <c r="C95" s="1" t="str">
        <f>VLOOKUP(Filtro!A95,Comparacao!$A$7:$D$200,3,FALSE)</f>
        <v/>
      </c>
      <c r="D95" s="1" t="str">
        <f>VLOOKUP(Filtro!A95,Comparacao!$A$7:$D$200,4,FALSE)</f>
        <v/>
      </c>
      <c r="F95" t="str">
        <f t="array" ref="F95">IFERROR(INDEX(Comparacao!$G$7:$G$200,SMALL(IF(Comparacao!$K$7:$K$200=$A$2,ROW(Comparacao!$G$7:$G$200)),ROW(91:91))-6,1),"")</f>
        <v/>
      </c>
      <c r="G95" t="str">
        <f>IFERROR(VLOOKUP(F95,Lista2[],2,FALSE),"")</f>
        <v/>
      </c>
      <c r="H95" s="1" t="str">
        <f>VLOOKUP(Filtro!F95,Comparacao!$G$7:$J$200,3,FALSE)</f>
        <v/>
      </c>
      <c r="I95" s="1" t="str">
        <f>VLOOKUP(Filtro!F95,Comparacao!$G$7:$J$200,4,FALSE)</f>
        <v/>
      </c>
    </row>
    <row r="96" spans="1:9" x14ac:dyDescent="0.25">
      <c r="A96" s="3" t="str">
        <f t="array" ref="A96">IFERROR(INDEX(Comparacao!$A$7:$A$200,SMALL(IF(Comparacao!$E$7:$E$200=$A$2,ROW(Comparacao!$A$7:$A$200)),ROW(92:92))-6,1),"")</f>
        <v/>
      </c>
      <c r="B96" s="3" t="str">
        <f>IFERROR(VLOOKUP(A96,Lista1[],2,FALSE),"")</f>
        <v/>
      </c>
      <c r="C96" s="1" t="str">
        <f>VLOOKUP(Filtro!A96,Comparacao!$A$7:$D$200,3,FALSE)</f>
        <v/>
      </c>
      <c r="D96" s="1" t="str">
        <f>VLOOKUP(Filtro!A96,Comparacao!$A$7:$D$200,4,FALSE)</f>
        <v/>
      </c>
      <c r="F96" t="str">
        <f t="array" ref="F96">IFERROR(INDEX(Comparacao!$G$7:$G$200,SMALL(IF(Comparacao!$K$7:$K$200=$A$2,ROW(Comparacao!$G$7:$G$200)),ROW(92:92))-6,1),"")</f>
        <v/>
      </c>
      <c r="G96" t="str">
        <f>IFERROR(VLOOKUP(F96,Lista2[],2,FALSE),"")</f>
        <v/>
      </c>
      <c r="H96" s="1" t="str">
        <f>VLOOKUP(Filtro!F96,Comparacao!$G$7:$J$200,3,FALSE)</f>
        <v/>
      </c>
      <c r="I96" s="1" t="str">
        <f>VLOOKUP(Filtro!F96,Comparacao!$G$7:$J$200,4,FALSE)</f>
        <v/>
      </c>
    </row>
    <row r="97" spans="1:9" x14ac:dyDescent="0.25">
      <c r="A97" s="3" t="str">
        <f t="array" ref="A97">IFERROR(INDEX(Comparacao!$A$7:$A$200,SMALL(IF(Comparacao!$E$7:$E$200=$A$2,ROW(Comparacao!$A$7:$A$200)),ROW(93:93))-6,1),"")</f>
        <v/>
      </c>
      <c r="B97" s="3" t="str">
        <f>IFERROR(VLOOKUP(A97,Lista1[],2,FALSE),"")</f>
        <v/>
      </c>
      <c r="C97" s="1" t="str">
        <f>VLOOKUP(Filtro!A97,Comparacao!$A$7:$D$200,3,FALSE)</f>
        <v/>
      </c>
      <c r="D97" s="1" t="str">
        <f>VLOOKUP(Filtro!A97,Comparacao!$A$7:$D$200,4,FALSE)</f>
        <v/>
      </c>
      <c r="F97" t="str">
        <f t="array" ref="F97">IFERROR(INDEX(Comparacao!$G$7:$G$200,SMALL(IF(Comparacao!$K$7:$K$200=$A$2,ROW(Comparacao!$G$7:$G$200)),ROW(93:93))-6,1),"")</f>
        <v/>
      </c>
      <c r="G97" t="str">
        <f>IFERROR(VLOOKUP(F97,Lista2[],2,FALSE),"")</f>
        <v/>
      </c>
      <c r="H97" s="1" t="str">
        <f>VLOOKUP(Filtro!F97,Comparacao!$G$7:$J$200,3,FALSE)</f>
        <v/>
      </c>
      <c r="I97" s="1" t="str">
        <f>VLOOKUP(Filtro!F97,Comparacao!$G$7:$J$200,4,FALSE)</f>
        <v/>
      </c>
    </row>
    <row r="98" spans="1:9" x14ac:dyDescent="0.25">
      <c r="A98" s="3" t="str">
        <f t="array" ref="A98">IFERROR(INDEX(Comparacao!$A$7:$A$200,SMALL(IF(Comparacao!$E$7:$E$200=$A$2,ROW(Comparacao!$A$7:$A$200)),ROW(94:94))-6,1),"")</f>
        <v/>
      </c>
      <c r="B98" s="3" t="str">
        <f>IFERROR(VLOOKUP(A98,Lista1[],2,FALSE),"")</f>
        <v/>
      </c>
      <c r="C98" s="1" t="str">
        <f>VLOOKUP(Filtro!A98,Comparacao!$A$7:$D$200,3,FALSE)</f>
        <v/>
      </c>
      <c r="D98" s="1" t="str">
        <f>VLOOKUP(Filtro!A98,Comparacao!$A$7:$D$200,4,FALSE)</f>
        <v/>
      </c>
      <c r="F98" t="str">
        <f t="array" ref="F98">IFERROR(INDEX(Comparacao!$G$7:$G$200,SMALL(IF(Comparacao!$K$7:$K$200=$A$2,ROW(Comparacao!$G$7:$G$200)),ROW(94:94))-6,1),"")</f>
        <v/>
      </c>
      <c r="G98" t="str">
        <f>IFERROR(VLOOKUP(F98,Lista2[],2,FALSE),"")</f>
        <v/>
      </c>
      <c r="H98" s="1" t="str">
        <f>VLOOKUP(Filtro!F98,Comparacao!$G$7:$J$200,3,FALSE)</f>
        <v/>
      </c>
      <c r="I98" s="1" t="str">
        <f>VLOOKUP(Filtro!F98,Comparacao!$G$7:$J$200,4,FALSE)</f>
        <v/>
      </c>
    </row>
    <row r="99" spans="1:9" x14ac:dyDescent="0.25">
      <c r="A99" s="3" t="str">
        <f t="array" ref="A99">IFERROR(INDEX(Comparacao!$A$7:$A$200,SMALL(IF(Comparacao!$E$7:$E$200=$A$2,ROW(Comparacao!$A$7:$A$200)),ROW(95:95))-6,1),"")</f>
        <v/>
      </c>
      <c r="B99" s="3" t="str">
        <f>IFERROR(VLOOKUP(A99,Lista1[],2,FALSE),"")</f>
        <v/>
      </c>
      <c r="C99" s="1" t="str">
        <f>VLOOKUP(Filtro!A99,Comparacao!$A$7:$D$200,3,FALSE)</f>
        <v/>
      </c>
      <c r="D99" s="1" t="str">
        <f>VLOOKUP(Filtro!A99,Comparacao!$A$7:$D$200,4,FALSE)</f>
        <v/>
      </c>
      <c r="F99" t="str">
        <f t="array" ref="F99">IFERROR(INDEX(Comparacao!$G$7:$G$200,SMALL(IF(Comparacao!$K$7:$K$200=$A$2,ROW(Comparacao!$G$7:$G$200)),ROW(95:95))-6,1),"")</f>
        <v/>
      </c>
      <c r="G99" t="str">
        <f>IFERROR(VLOOKUP(F99,Lista2[],2,FALSE),"")</f>
        <v/>
      </c>
      <c r="H99" s="1" t="str">
        <f>VLOOKUP(Filtro!F99,Comparacao!$G$7:$J$200,3,FALSE)</f>
        <v/>
      </c>
      <c r="I99" s="1" t="str">
        <f>VLOOKUP(Filtro!F99,Comparacao!$G$7:$J$200,4,FALSE)</f>
        <v/>
      </c>
    </row>
    <row r="100" spans="1:9" x14ac:dyDescent="0.25">
      <c r="A100" s="3" t="str">
        <f t="array" ref="A100">IFERROR(INDEX(Comparacao!$A$7:$A$200,SMALL(IF(Comparacao!$E$7:$E$200=$A$2,ROW(Comparacao!$A$7:$A$200)),ROW(96:96))-6,1),"")</f>
        <v/>
      </c>
      <c r="B100" s="3" t="str">
        <f>IFERROR(VLOOKUP(A100,Lista1[],2,FALSE),"")</f>
        <v/>
      </c>
      <c r="C100" s="1" t="str">
        <f>VLOOKUP(Filtro!A100,Comparacao!$A$7:$D$200,3,FALSE)</f>
        <v/>
      </c>
      <c r="D100" s="1" t="str">
        <f>VLOOKUP(Filtro!A100,Comparacao!$A$7:$D$200,4,FALSE)</f>
        <v/>
      </c>
      <c r="F100" t="str">
        <f t="array" ref="F100">IFERROR(INDEX(Comparacao!$G$7:$G$200,SMALL(IF(Comparacao!$K$7:$K$200=$A$2,ROW(Comparacao!$G$7:$G$200)),ROW(96:96))-6,1),"")</f>
        <v/>
      </c>
      <c r="G100" t="str">
        <f>IFERROR(VLOOKUP(F100,Lista2[],2,FALSE),"")</f>
        <v/>
      </c>
      <c r="H100" s="1" t="str">
        <f>VLOOKUP(Filtro!F100,Comparacao!$G$7:$J$200,3,FALSE)</f>
        <v/>
      </c>
      <c r="I100" s="1" t="str">
        <f>VLOOKUP(Filtro!F100,Comparacao!$G$7:$J$200,4,FALSE)</f>
        <v/>
      </c>
    </row>
    <row r="101" spans="1:9" x14ac:dyDescent="0.25">
      <c r="A101" s="3" t="str">
        <f t="array" ref="A101">IFERROR(INDEX(Comparacao!$A$7:$A$200,SMALL(IF(Comparacao!$E$7:$E$200=$A$2,ROW(Comparacao!$A$7:$A$200)),ROW(97:97))-6,1),"")</f>
        <v/>
      </c>
      <c r="B101" s="3" t="str">
        <f>IFERROR(VLOOKUP(A101,Lista1[],2,FALSE),"")</f>
        <v/>
      </c>
      <c r="C101" s="1" t="str">
        <f>VLOOKUP(Filtro!A101,Comparacao!$A$7:$D$200,3,FALSE)</f>
        <v/>
      </c>
      <c r="D101" s="1" t="str">
        <f>VLOOKUP(Filtro!A101,Comparacao!$A$7:$D$200,4,FALSE)</f>
        <v/>
      </c>
      <c r="F101" t="str">
        <f t="array" ref="F101">IFERROR(INDEX(Comparacao!$G$7:$G$200,SMALL(IF(Comparacao!$K$7:$K$200=$A$2,ROW(Comparacao!$G$7:$G$200)),ROW(97:97))-6,1),"")</f>
        <v/>
      </c>
      <c r="G101" t="str">
        <f>IFERROR(VLOOKUP(F101,Lista2[],2,FALSE),"")</f>
        <v/>
      </c>
      <c r="H101" s="1" t="str">
        <f>VLOOKUP(Filtro!F101,Comparacao!$G$7:$J$200,3,FALSE)</f>
        <v/>
      </c>
      <c r="I101" s="1" t="str">
        <f>VLOOKUP(Filtro!F101,Comparacao!$G$7:$J$200,4,FALSE)</f>
        <v/>
      </c>
    </row>
    <row r="102" spans="1:9" x14ac:dyDescent="0.25">
      <c r="A102" s="3" t="str">
        <f t="array" ref="A102">IFERROR(INDEX(Comparacao!$A$7:$A$200,SMALL(IF(Comparacao!$E$7:$E$200=$A$2,ROW(Comparacao!$A$7:$A$200)),ROW(98:98))-6,1),"")</f>
        <v/>
      </c>
      <c r="B102" s="3" t="str">
        <f>IFERROR(VLOOKUP(A102,Lista1[],2,FALSE),"")</f>
        <v/>
      </c>
      <c r="C102" s="1" t="str">
        <f>VLOOKUP(Filtro!A102,Comparacao!$A$7:$D$200,3,FALSE)</f>
        <v/>
      </c>
      <c r="D102" s="1" t="str">
        <f>VLOOKUP(Filtro!A102,Comparacao!$A$7:$D$200,4,FALSE)</f>
        <v/>
      </c>
      <c r="F102" t="str">
        <f t="array" ref="F102">IFERROR(INDEX(Comparacao!$G$7:$G$200,SMALL(IF(Comparacao!$K$7:$K$200=$A$2,ROW(Comparacao!$G$7:$G$200)),ROW(98:98))-6,1),"")</f>
        <v/>
      </c>
      <c r="G102" t="str">
        <f>IFERROR(VLOOKUP(F102,Lista2[],2,FALSE),"")</f>
        <v/>
      </c>
      <c r="H102" s="1" t="str">
        <f>VLOOKUP(Filtro!F102,Comparacao!$G$7:$J$200,3,FALSE)</f>
        <v/>
      </c>
      <c r="I102" s="1" t="str">
        <f>VLOOKUP(Filtro!F102,Comparacao!$G$7:$J$200,4,FALSE)</f>
        <v/>
      </c>
    </row>
    <row r="103" spans="1:9" x14ac:dyDescent="0.25">
      <c r="A103" s="3" t="str">
        <f t="array" ref="A103">IFERROR(INDEX(Comparacao!$A$7:$A$200,SMALL(IF(Comparacao!$E$7:$E$200=$A$2,ROW(Comparacao!$A$7:$A$200)),ROW(99:99))-6,1),"")</f>
        <v/>
      </c>
      <c r="B103" s="3" t="str">
        <f>IFERROR(VLOOKUP(A103,Lista1[],2,FALSE),"")</f>
        <v/>
      </c>
      <c r="C103" s="1" t="str">
        <f>VLOOKUP(Filtro!A103,Comparacao!$A$7:$D$200,3,FALSE)</f>
        <v/>
      </c>
      <c r="D103" s="1" t="str">
        <f>VLOOKUP(Filtro!A103,Comparacao!$A$7:$D$200,4,FALSE)</f>
        <v/>
      </c>
      <c r="F103" t="str">
        <f t="array" ref="F103">IFERROR(INDEX(Comparacao!$G$7:$G$200,SMALL(IF(Comparacao!$K$7:$K$200=$A$2,ROW(Comparacao!$G$7:$G$200)),ROW(99:99))-6,1),"")</f>
        <v/>
      </c>
      <c r="G103" t="str">
        <f>IFERROR(VLOOKUP(F103,Lista2[],2,FALSE),"")</f>
        <v/>
      </c>
      <c r="H103" s="1" t="str">
        <f>VLOOKUP(Filtro!F103,Comparacao!$G$7:$J$200,3,FALSE)</f>
        <v/>
      </c>
      <c r="I103" s="1" t="str">
        <f>VLOOKUP(Filtro!F103,Comparacao!$G$7:$J$200,4,FALSE)</f>
        <v/>
      </c>
    </row>
    <row r="104" spans="1:9" x14ac:dyDescent="0.25">
      <c r="A104" s="3" t="str">
        <f t="array" ref="A104">IFERROR(INDEX(Comparacao!$A$7:$A$200,SMALL(IF(Comparacao!$E$7:$E$200=$A$2,ROW(Comparacao!$A$7:$A$200)),ROW(100:100))-6,1),"")</f>
        <v/>
      </c>
      <c r="B104" s="3" t="str">
        <f>IFERROR(VLOOKUP(A104,Lista1[],2,FALSE),"")</f>
        <v/>
      </c>
      <c r="C104" s="1" t="str">
        <f>VLOOKUP(Filtro!A104,Comparacao!$A$7:$D$200,3,FALSE)</f>
        <v/>
      </c>
      <c r="D104" s="1" t="str">
        <f>VLOOKUP(Filtro!A104,Comparacao!$A$7:$D$200,4,FALSE)</f>
        <v/>
      </c>
      <c r="F104" t="str">
        <f t="array" ref="F104">IFERROR(INDEX(Comparacao!$G$7:$G$200,SMALL(IF(Comparacao!$K$7:$K$200=$A$2,ROW(Comparacao!$G$7:$G$200)),ROW(100:100))-6,1),"")</f>
        <v/>
      </c>
      <c r="G104" t="str">
        <f>IFERROR(VLOOKUP(F104,Lista2[],2,FALSE),"")</f>
        <v/>
      </c>
      <c r="H104" s="1" t="str">
        <f>VLOOKUP(Filtro!F104,Comparacao!$G$7:$J$200,3,FALSE)</f>
        <v/>
      </c>
      <c r="I104" s="1" t="str">
        <f>VLOOKUP(Filtro!F104,Comparacao!$G$7:$J$200,4,FALSE)</f>
        <v/>
      </c>
    </row>
    <row r="105" spans="1:9" x14ac:dyDescent="0.25">
      <c r="A105" s="3" t="str">
        <f t="array" ref="A105">IFERROR(INDEX(Comparacao!$A$7:$A$200,SMALL(IF(Comparacao!$E$7:$E$200=$A$2,ROW(Comparacao!$A$7:$A$200)),ROW(101:101))-6,1),"")</f>
        <v/>
      </c>
      <c r="B105" s="3" t="str">
        <f>IFERROR(VLOOKUP(A105,Lista1[],2,FALSE),"")</f>
        <v/>
      </c>
      <c r="C105" s="1" t="str">
        <f>VLOOKUP(Filtro!A105,Comparacao!$A$7:$D$200,3,FALSE)</f>
        <v/>
      </c>
      <c r="D105" s="1" t="str">
        <f>VLOOKUP(Filtro!A105,Comparacao!$A$7:$D$200,4,FALSE)</f>
        <v/>
      </c>
      <c r="F105" t="str">
        <f t="array" ref="F105">IFERROR(INDEX(Comparacao!$G$7:$G$200,SMALL(IF(Comparacao!$K$7:$K$200=$A$2,ROW(Comparacao!$G$7:$G$200)),ROW(101:101))-6,1),"")</f>
        <v/>
      </c>
      <c r="G105" t="str">
        <f>IFERROR(VLOOKUP(F105,Lista2[],2,FALSE),"")</f>
        <v/>
      </c>
      <c r="H105" s="1" t="str">
        <f>VLOOKUP(Filtro!F105,Comparacao!$G$7:$J$200,3,FALSE)</f>
        <v/>
      </c>
      <c r="I105" s="1" t="str">
        <f>VLOOKUP(Filtro!F105,Comparacao!$G$7:$J$200,4,FALSE)</f>
        <v/>
      </c>
    </row>
    <row r="106" spans="1:9" x14ac:dyDescent="0.25">
      <c r="A106" s="3" t="str">
        <f t="array" ref="A106">IFERROR(INDEX(Comparacao!$A$7:$A$200,SMALL(IF(Comparacao!$E$7:$E$200=$A$2,ROW(Comparacao!$A$7:$A$200)),ROW(102:102))-6,1),"")</f>
        <v/>
      </c>
      <c r="B106" s="3" t="str">
        <f>IFERROR(VLOOKUP(A106,Lista1[],2,FALSE),"")</f>
        <v/>
      </c>
      <c r="C106" s="1" t="str">
        <f>VLOOKUP(Filtro!A106,Comparacao!$A$7:$D$200,3,FALSE)</f>
        <v/>
      </c>
      <c r="D106" s="1" t="str">
        <f>VLOOKUP(Filtro!A106,Comparacao!$A$7:$D$200,4,FALSE)</f>
        <v/>
      </c>
      <c r="F106" t="str">
        <f t="array" ref="F106">IFERROR(INDEX(Comparacao!$G$7:$G$200,SMALL(IF(Comparacao!$K$7:$K$200=$A$2,ROW(Comparacao!$G$7:$G$200)),ROW(102:102))-6,1),"")</f>
        <v/>
      </c>
      <c r="G106" t="str">
        <f>IFERROR(VLOOKUP(F106,Lista2[],2,FALSE),"")</f>
        <v/>
      </c>
      <c r="H106" s="1" t="str">
        <f>VLOOKUP(Filtro!F106,Comparacao!$G$7:$J$200,3,FALSE)</f>
        <v/>
      </c>
      <c r="I106" s="1" t="str">
        <f>VLOOKUP(Filtro!F106,Comparacao!$G$7:$J$200,4,FALSE)</f>
        <v/>
      </c>
    </row>
    <row r="107" spans="1:9" x14ac:dyDescent="0.25">
      <c r="A107" s="3" t="str">
        <f t="array" ref="A107">IFERROR(INDEX(Comparacao!$A$7:$A$200,SMALL(IF(Comparacao!$E$7:$E$200=$A$2,ROW(Comparacao!$A$7:$A$200)),ROW(103:103))-6,1),"")</f>
        <v/>
      </c>
      <c r="B107" s="3" t="str">
        <f>IFERROR(VLOOKUP(A107,Lista1[],2,FALSE),"")</f>
        <v/>
      </c>
      <c r="C107" s="1" t="str">
        <f>VLOOKUP(Filtro!A107,Comparacao!$A$7:$D$200,3,FALSE)</f>
        <v/>
      </c>
      <c r="D107" s="1" t="str">
        <f>VLOOKUP(Filtro!A107,Comparacao!$A$7:$D$200,4,FALSE)</f>
        <v/>
      </c>
      <c r="F107" t="str">
        <f t="array" ref="F107">IFERROR(INDEX(Comparacao!$G$7:$G$200,SMALL(IF(Comparacao!$K$7:$K$200=$A$2,ROW(Comparacao!$G$7:$G$200)),ROW(103:103))-6,1),"")</f>
        <v/>
      </c>
      <c r="G107" t="str">
        <f>IFERROR(VLOOKUP(F107,Lista2[],2,FALSE),"")</f>
        <v/>
      </c>
      <c r="H107" s="1" t="str">
        <f>VLOOKUP(Filtro!F107,Comparacao!$G$7:$J$200,3,FALSE)</f>
        <v/>
      </c>
      <c r="I107" s="1" t="str">
        <f>VLOOKUP(Filtro!F107,Comparacao!$G$7:$J$200,4,FALSE)</f>
        <v/>
      </c>
    </row>
    <row r="108" spans="1:9" x14ac:dyDescent="0.25">
      <c r="A108" s="3" t="str">
        <f t="array" ref="A108">IFERROR(INDEX(Comparacao!$A$7:$A$200,SMALL(IF(Comparacao!$E$7:$E$200=$A$2,ROW(Comparacao!$A$7:$A$200)),ROW(104:104))-6,1),"")</f>
        <v/>
      </c>
      <c r="B108" s="3" t="str">
        <f>IFERROR(VLOOKUP(A108,Lista1[],2,FALSE),"")</f>
        <v/>
      </c>
      <c r="C108" s="1" t="str">
        <f>VLOOKUP(Filtro!A108,Comparacao!$A$7:$D$200,3,FALSE)</f>
        <v/>
      </c>
      <c r="D108" s="1" t="str">
        <f>VLOOKUP(Filtro!A108,Comparacao!$A$7:$D$200,4,FALSE)</f>
        <v/>
      </c>
      <c r="F108" t="str">
        <f t="array" ref="F108">IFERROR(INDEX(Comparacao!$G$7:$G$200,SMALL(IF(Comparacao!$K$7:$K$200=$A$2,ROW(Comparacao!$G$7:$G$200)),ROW(104:104))-6,1),"")</f>
        <v/>
      </c>
      <c r="G108" t="str">
        <f>IFERROR(VLOOKUP(F108,Lista2[],2,FALSE),"")</f>
        <v/>
      </c>
      <c r="H108" s="1" t="str">
        <f>VLOOKUP(Filtro!F108,Comparacao!$G$7:$J$200,3,FALSE)</f>
        <v/>
      </c>
      <c r="I108" s="1" t="str">
        <f>VLOOKUP(Filtro!F108,Comparacao!$G$7:$J$200,4,FALSE)</f>
        <v/>
      </c>
    </row>
    <row r="109" spans="1:9" x14ac:dyDescent="0.25">
      <c r="A109" s="3" t="str">
        <f t="array" ref="A109">IFERROR(INDEX(Comparacao!$A$7:$A$200,SMALL(IF(Comparacao!$E$7:$E$200=$A$2,ROW(Comparacao!$A$7:$A$200)),ROW(105:105))-6,1),"")</f>
        <v/>
      </c>
      <c r="B109" s="3" t="str">
        <f>IFERROR(VLOOKUP(A109,Lista1[],2,FALSE),"")</f>
        <v/>
      </c>
      <c r="C109" s="1" t="str">
        <f>VLOOKUP(Filtro!A109,Comparacao!$A$7:$D$200,3,FALSE)</f>
        <v/>
      </c>
      <c r="D109" s="1" t="str">
        <f>VLOOKUP(Filtro!A109,Comparacao!$A$7:$D$200,4,FALSE)</f>
        <v/>
      </c>
      <c r="F109" t="str">
        <f t="array" ref="F109">IFERROR(INDEX(Comparacao!$G$7:$G$200,SMALL(IF(Comparacao!$K$7:$K$200=$A$2,ROW(Comparacao!$G$7:$G$200)),ROW(105:105))-6,1),"")</f>
        <v/>
      </c>
      <c r="G109" t="str">
        <f>IFERROR(VLOOKUP(F109,Lista2[],2,FALSE),"")</f>
        <v/>
      </c>
      <c r="H109" s="1" t="str">
        <f>VLOOKUP(Filtro!F109,Comparacao!$G$7:$J$200,3,FALSE)</f>
        <v/>
      </c>
      <c r="I109" s="1" t="str">
        <f>VLOOKUP(Filtro!F109,Comparacao!$G$7:$J$200,4,FALSE)</f>
        <v/>
      </c>
    </row>
    <row r="110" spans="1:9" x14ac:dyDescent="0.25">
      <c r="A110" s="3" t="str">
        <f t="array" ref="A110">IFERROR(INDEX(Comparacao!$A$7:$A$200,SMALL(IF(Comparacao!$E$7:$E$200=$A$2,ROW(Comparacao!$A$7:$A$200)),ROW(106:106))-6,1),"")</f>
        <v/>
      </c>
      <c r="B110" s="3" t="str">
        <f>IFERROR(VLOOKUP(A110,Lista1[],2,FALSE),"")</f>
        <v/>
      </c>
      <c r="C110" s="1" t="str">
        <f>VLOOKUP(Filtro!A110,Comparacao!$A$7:$D$200,3,FALSE)</f>
        <v/>
      </c>
      <c r="D110" s="1" t="str">
        <f>VLOOKUP(Filtro!A110,Comparacao!$A$7:$D$200,4,FALSE)</f>
        <v/>
      </c>
      <c r="F110" t="str">
        <f t="array" ref="F110">IFERROR(INDEX(Comparacao!$G$7:$G$200,SMALL(IF(Comparacao!$K$7:$K$200=$A$2,ROW(Comparacao!$G$7:$G$200)),ROW(106:106))-6,1),"")</f>
        <v/>
      </c>
      <c r="G110" t="str">
        <f>IFERROR(VLOOKUP(F110,Lista2[],2,FALSE),"")</f>
        <v/>
      </c>
      <c r="H110" s="1" t="str">
        <f>VLOOKUP(Filtro!F110,Comparacao!$G$7:$J$200,3,FALSE)</f>
        <v/>
      </c>
      <c r="I110" s="1" t="str">
        <f>VLOOKUP(Filtro!F110,Comparacao!$G$7:$J$200,4,FALSE)</f>
        <v/>
      </c>
    </row>
    <row r="111" spans="1:9" x14ac:dyDescent="0.25">
      <c r="A111" s="3" t="str">
        <f t="array" ref="A111">IFERROR(INDEX(Comparacao!$A$7:$A$200,SMALL(IF(Comparacao!$E$7:$E$200=$A$2,ROW(Comparacao!$A$7:$A$200)),ROW(107:107))-6,1),"")</f>
        <v/>
      </c>
      <c r="B111" s="3" t="str">
        <f>IFERROR(VLOOKUP(A111,Lista1[],2,FALSE),"")</f>
        <v/>
      </c>
      <c r="C111" s="1" t="str">
        <f>VLOOKUP(Filtro!A111,Comparacao!$A$7:$D$200,3,FALSE)</f>
        <v/>
      </c>
      <c r="D111" s="1" t="str">
        <f>VLOOKUP(Filtro!A111,Comparacao!$A$7:$D$200,4,FALSE)</f>
        <v/>
      </c>
      <c r="F111" t="str">
        <f t="array" ref="F111">IFERROR(INDEX(Comparacao!$G$7:$G$200,SMALL(IF(Comparacao!$K$7:$K$200=$A$2,ROW(Comparacao!$G$7:$G$200)),ROW(107:107))-6,1),"")</f>
        <v/>
      </c>
      <c r="G111" t="str">
        <f>IFERROR(VLOOKUP(F111,Lista2[],2,FALSE),"")</f>
        <v/>
      </c>
      <c r="H111" s="1" t="str">
        <f>VLOOKUP(Filtro!F111,Comparacao!$G$7:$J$200,3,FALSE)</f>
        <v/>
      </c>
      <c r="I111" s="1" t="str">
        <f>VLOOKUP(Filtro!F111,Comparacao!$G$7:$J$200,4,FALSE)</f>
        <v/>
      </c>
    </row>
    <row r="112" spans="1:9" x14ac:dyDescent="0.25">
      <c r="A112" s="3" t="str">
        <f t="array" ref="A112">IFERROR(INDEX(Comparacao!$A$7:$A$200,SMALL(IF(Comparacao!$E$7:$E$200=$A$2,ROW(Comparacao!$A$7:$A$200)),ROW(108:108))-6,1),"")</f>
        <v/>
      </c>
      <c r="B112" s="3" t="str">
        <f>IFERROR(VLOOKUP(A112,Lista1[],2,FALSE),"")</f>
        <v/>
      </c>
      <c r="C112" s="1" t="str">
        <f>VLOOKUP(Filtro!A112,Comparacao!$A$7:$D$200,3,FALSE)</f>
        <v/>
      </c>
      <c r="D112" s="1" t="str">
        <f>VLOOKUP(Filtro!A112,Comparacao!$A$7:$D$200,4,FALSE)</f>
        <v/>
      </c>
      <c r="F112" t="str">
        <f t="array" ref="F112">IFERROR(INDEX(Comparacao!$G$7:$G$200,SMALL(IF(Comparacao!$K$7:$K$200=$A$2,ROW(Comparacao!$G$7:$G$200)),ROW(108:108))-6,1),"")</f>
        <v/>
      </c>
      <c r="G112" t="str">
        <f>IFERROR(VLOOKUP(F112,Lista2[],2,FALSE),"")</f>
        <v/>
      </c>
      <c r="H112" s="1" t="str">
        <f>VLOOKUP(Filtro!F112,Comparacao!$G$7:$J$200,3,FALSE)</f>
        <v/>
      </c>
      <c r="I112" s="1" t="str">
        <f>VLOOKUP(Filtro!F112,Comparacao!$G$7:$J$200,4,FALSE)</f>
        <v/>
      </c>
    </row>
    <row r="113" spans="1:9" x14ac:dyDescent="0.25">
      <c r="A113" s="3" t="str">
        <f t="array" ref="A113">IFERROR(INDEX(Comparacao!$A$7:$A$200,SMALL(IF(Comparacao!$E$7:$E$200=$A$2,ROW(Comparacao!$A$7:$A$200)),ROW(109:109))-6,1),"")</f>
        <v/>
      </c>
      <c r="B113" s="3" t="str">
        <f>IFERROR(VLOOKUP(A113,Lista1[],2,FALSE),"")</f>
        <v/>
      </c>
      <c r="C113" s="1" t="str">
        <f>VLOOKUP(Filtro!A113,Comparacao!$A$7:$D$200,3,FALSE)</f>
        <v/>
      </c>
      <c r="D113" s="1" t="str">
        <f>VLOOKUP(Filtro!A113,Comparacao!$A$7:$D$200,4,FALSE)</f>
        <v/>
      </c>
      <c r="F113" t="str">
        <f t="array" ref="F113">IFERROR(INDEX(Comparacao!$G$7:$G$200,SMALL(IF(Comparacao!$K$7:$K$200=$A$2,ROW(Comparacao!$G$7:$G$200)),ROW(109:109))-6,1),"")</f>
        <v/>
      </c>
      <c r="G113" t="str">
        <f>IFERROR(VLOOKUP(F113,Lista2[],2,FALSE),"")</f>
        <v/>
      </c>
      <c r="H113" s="1" t="str">
        <f>VLOOKUP(Filtro!F113,Comparacao!$G$7:$J$200,3,FALSE)</f>
        <v/>
      </c>
      <c r="I113" s="1" t="str">
        <f>VLOOKUP(Filtro!F113,Comparacao!$G$7:$J$200,4,FALSE)</f>
        <v/>
      </c>
    </row>
    <row r="114" spans="1:9" x14ac:dyDescent="0.25">
      <c r="A114" s="3" t="str">
        <f t="array" ref="A114">IFERROR(INDEX(Comparacao!$A$7:$A$200,SMALL(IF(Comparacao!$E$7:$E$200=$A$2,ROW(Comparacao!$A$7:$A$200)),ROW(110:110))-6,1),"")</f>
        <v/>
      </c>
      <c r="B114" s="3" t="str">
        <f>IFERROR(VLOOKUP(A114,Lista1[],2,FALSE),"")</f>
        <v/>
      </c>
      <c r="C114" s="1" t="str">
        <f>VLOOKUP(Filtro!A114,Comparacao!$A$7:$D$200,3,FALSE)</f>
        <v/>
      </c>
      <c r="D114" s="1" t="str">
        <f>VLOOKUP(Filtro!A114,Comparacao!$A$7:$D$200,4,FALSE)</f>
        <v/>
      </c>
      <c r="F114" t="str">
        <f t="array" ref="F114">IFERROR(INDEX(Comparacao!$G$7:$G$200,SMALL(IF(Comparacao!$K$7:$K$200=$A$2,ROW(Comparacao!$G$7:$G$200)),ROW(110:110))-6,1),"")</f>
        <v/>
      </c>
      <c r="G114" t="str">
        <f>IFERROR(VLOOKUP(F114,Lista2[],2,FALSE),"")</f>
        <v/>
      </c>
      <c r="H114" s="1" t="str">
        <f>VLOOKUP(Filtro!F114,Comparacao!$G$7:$J$200,3,FALSE)</f>
        <v/>
      </c>
      <c r="I114" s="1" t="str">
        <f>VLOOKUP(Filtro!F114,Comparacao!$G$7:$J$200,4,FALSE)</f>
        <v/>
      </c>
    </row>
    <row r="115" spans="1:9" x14ac:dyDescent="0.25">
      <c r="A115" s="3" t="str">
        <f t="array" ref="A115">IFERROR(INDEX(Comparacao!$A$7:$A$200,SMALL(IF(Comparacao!$E$7:$E$200=$A$2,ROW(Comparacao!$A$7:$A$200)),ROW(111:111))-6,1),"")</f>
        <v/>
      </c>
      <c r="B115" s="3" t="str">
        <f>IFERROR(VLOOKUP(A115,Lista1[],2,FALSE),"")</f>
        <v/>
      </c>
      <c r="C115" s="1" t="str">
        <f>VLOOKUP(Filtro!A115,Comparacao!$A$7:$D$200,3,FALSE)</f>
        <v/>
      </c>
      <c r="D115" s="1" t="str">
        <f>VLOOKUP(Filtro!A115,Comparacao!$A$7:$D$200,4,FALSE)</f>
        <v/>
      </c>
      <c r="F115" t="str">
        <f t="array" ref="F115">IFERROR(INDEX(Comparacao!$G$7:$G$200,SMALL(IF(Comparacao!$K$7:$K$200=$A$2,ROW(Comparacao!$G$7:$G$200)),ROW(111:111))-6,1),"")</f>
        <v/>
      </c>
      <c r="G115" t="str">
        <f>IFERROR(VLOOKUP(F115,Lista2[],2,FALSE),"")</f>
        <v/>
      </c>
      <c r="H115" s="1" t="str">
        <f>VLOOKUP(Filtro!F115,Comparacao!$G$7:$J$200,3,FALSE)</f>
        <v/>
      </c>
      <c r="I115" s="1" t="str">
        <f>VLOOKUP(Filtro!F115,Comparacao!$G$7:$J$200,4,FALSE)</f>
        <v/>
      </c>
    </row>
    <row r="116" spans="1:9" x14ac:dyDescent="0.25">
      <c r="A116" s="3" t="str">
        <f t="array" ref="A116">IFERROR(INDEX(Comparacao!$A$7:$A$200,SMALL(IF(Comparacao!$E$7:$E$200=$A$2,ROW(Comparacao!$A$7:$A$200)),ROW(112:112))-6,1),"")</f>
        <v/>
      </c>
      <c r="B116" s="3" t="str">
        <f>IFERROR(VLOOKUP(A116,Lista1[],2,FALSE),"")</f>
        <v/>
      </c>
      <c r="C116" s="1" t="str">
        <f>VLOOKUP(Filtro!A116,Comparacao!$A$7:$D$200,3,FALSE)</f>
        <v/>
      </c>
      <c r="D116" s="1" t="str">
        <f>VLOOKUP(Filtro!A116,Comparacao!$A$7:$D$200,4,FALSE)</f>
        <v/>
      </c>
      <c r="F116" t="str">
        <f t="array" ref="F116">IFERROR(INDEX(Comparacao!$G$7:$G$200,SMALL(IF(Comparacao!$K$7:$K$200=$A$2,ROW(Comparacao!$G$7:$G$200)),ROW(112:112))-6,1),"")</f>
        <v/>
      </c>
      <c r="G116" t="str">
        <f>IFERROR(VLOOKUP(F116,Lista2[],2,FALSE),"")</f>
        <v/>
      </c>
      <c r="H116" s="1" t="str">
        <f>VLOOKUP(Filtro!F116,Comparacao!$G$7:$J$200,3,FALSE)</f>
        <v/>
      </c>
      <c r="I116" s="1" t="str">
        <f>VLOOKUP(Filtro!F116,Comparacao!$G$7:$J$200,4,FALSE)</f>
        <v/>
      </c>
    </row>
    <row r="117" spans="1:9" x14ac:dyDescent="0.25">
      <c r="A117" s="3" t="str">
        <f t="array" ref="A117">IFERROR(INDEX(Comparacao!$A$7:$A$200,SMALL(IF(Comparacao!$E$7:$E$200=$A$2,ROW(Comparacao!$A$7:$A$200)),ROW(113:113))-6,1),"")</f>
        <v/>
      </c>
      <c r="B117" s="3" t="str">
        <f>IFERROR(VLOOKUP(A117,Lista1[],2,FALSE),"")</f>
        <v/>
      </c>
      <c r="C117" s="1" t="str">
        <f>VLOOKUP(Filtro!A117,Comparacao!$A$7:$D$200,3,FALSE)</f>
        <v/>
      </c>
      <c r="D117" s="1" t="str">
        <f>VLOOKUP(Filtro!A117,Comparacao!$A$7:$D$200,4,FALSE)</f>
        <v/>
      </c>
      <c r="F117" t="str">
        <f t="array" ref="F117">IFERROR(INDEX(Comparacao!$G$7:$G$200,SMALL(IF(Comparacao!$K$7:$K$200=$A$2,ROW(Comparacao!$G$7:$G$200)),ROW(113:113))-6,1),"")</f>
        <v/>
      </c>
      <c r="G117" t="str">
        <f>IFERROR(VLOOKUP(F117,Lista2[],2,FALSE),"")</f>
        <v/>
      </c>
      <c r="H117" s="1" t="str">
        <f>VLOOKUP(Filtro!F117,Comparacao!$G$7:$J$200,3,FALSE)</f>
        <v/>
      </c>
      <c r="I117" s="1" t="str">
        <f>VLOOKUP(Filtro!F117,Comparacao!$G$7:$J$200,4,FALSE)</f>
        <v/>
      </c>
    </row>
    <row r="118" spans="1:9" x14ac:dyDescent="0.25">
      <c r="A118" s="3" t="str">
        <f t="array" ref="A118">IFERROR(INDEX(Comparacao!$A$7:$A$200,SMALL(IF(Comparacao!$E$7:$E$200=$A$2,ROW(Comparacao!$A$7:$A$200)),ROW(114:114))-6,1),"")</f>
        <v/>
      </c>
      <c r="B118" s="3" t="str">
        <f>IFERROR(VLOOKUP(A118,Lista1[],2,FALSE),"")</f>
        <v/>
      </c>
      <c r="C118" s="1" t="str">
        <f>VLOOKUP(Filtro!A118,Comparacao!$A$7:$D$200,3,FALSE)</f>
        <v/>
      </c>
      <c r="D118" s="1" t="str">
        <f>VLOOKUP(Filtro!A118,Comparacao!$A$7:$D$200,4,FALSE)</f>
        <v/>
      </c>
      <c r="F118" t="str">
        <f t="array" ref="F118">IFERROR(INDEX(Comparacao!$G$7:$G$200,SMALL(IF(Comparacao!$K$7:$K$200=$A$2,ROW(Comparacao!$G$7:$G$200)),ROW(114:114))-6,1),"")</f>
        <v/>
      </c>
      <c r="G118" t="str">
        <f>IFERROR(VLOOKUP(F118,Lista2[],2,FALSE),"")</f>
        <v/>
      </c>
      <c r="H118" s="1" t="str">
        <f>VLOOKUP(Filtro!F118,Comparacao!$G$7:$J$200,3,FALSE)</f>
        <v/>
      </c>
      <c r="I118" s="1" t="str">
        <f>VLOOKUP(Filtro!F118,Comparacao!$G$7:$J$200,4,FALSE)</f>
        <v/>
      </c>
    </row>
    <row r="119" spans="1:9" x14ac:dyDescent="0.25">
      <c r="A119" s="3" t="str">
        <f t="array" ref="A119">IFERROR(INDEX(Comparacao!$A$7:$A$200,SMALL(IF(Comparacao!$E$7:$E$200=$A$2,ROW(Comparacao!$A$7:$A$200)),ROW(115:115))-6,1),"")</f>
        <v/>
      </c>
      <c r="B119" s="3" t="str">
        <f>IFERROR(VLOOKUP(A119,Lista1[],2,FALSE),"")</f>
        <v/>
      </c>
      <c r="C119" s="1" t="str">
        <f>VLOOKUP(Filtro!A119,Comparacao!$A$7:$D$200,3,FALSE)</f>
        <v/>
      </c>
      <c r="D119" s="1" t="str">
        <f>VLOOKUP(Filtro!A119,Comparacao!$A$7:$D$200,4,FALSE)</f>
        <v/>
      </c>
      <c r="F119" t="str">
        <f t="array" ref="F119">IFERROR(INDEX(Comparacao!$G$7:$G$200,SMALL(IF(Comparacao!$K$7:$K$200=$A$2,ROW(Comparacao!$G$7:$G$200)),ROW(115:115))-6,1),"")</f>
        <v/>
      </c>
      <c r="G119" t="str">
        <f>IFERROR(VLOOKUP(F119,Lista2[],2,FALSE),"")</f>
        <v/>
      </c>
      <c r="H119" s="1" t="str">
        <f>VLOOKUP(Filtro!F119,Comparacao!$G$7:$J$200,3,FALSE)</f>
        <v/>
      </c>
      <c r="I119" s="1" t="str">
        <f>VLOOKUP(Filtro!F119,Comparacao!$G$7:$J$200,4,FALSE)</f>
        <v/>
      </c>
    </row>
    <row r="120" spans="1:9" x14ac:dyDescent="0.25">
      <c r="A120" s="3" t="str">
        <f t="array" ref="A120">IFERROR(INDEX(Comparacao!$A$7:$A$200,SMALL(IF(Comparacao!$E$7:$E$200=$A$2,ROW(Comparacao!$A$7:$A$200)),ROW(116:116))-6,1),"")</f>
        <v/>
      </c>
      <c r="B120" s="3" t="str">
        <f>IFERROR(VLOOKUP(A120,Lista1[],2,FALSE),"")</f>
        <v/>
      </c>
      <c r="C120" s="1" t="str">
        <f>VLOOKUP(Filtro!A120,Comparacao!$A$7:$D$200,3,FALSE)</f>
        <v/>
      </c>
      <c r="D120" s="1" t="str">
        <f>VLOOKUP(Filtro!A120,Comparacao!$A$7:$D$200,4,FALSE)</f>
        <v/>
      </c>
      <c r="F120" t="str">
        <f t="array" ref="F120">IFERROR(INDEX(Comparacao!$G$7:$G$200,SMALL(IF(Comparacao!$K$7:$K$200=$A$2,ROW(Comparacao!$G$7:$G$200)),ROW(116:116))-6,1),"")</f>
        <v/>
      </c>
      <c r="G120" t="str">
        <f>IFERROR(VLOOKUP(F120,Lista2[],2,FALSE),"")</f>
        <v/>
      </c>
      <c r="H120" s="1" t="str">
        <f>VLOOKUP(Filtro!F120,Comparacao!$G$7:$J$200,3,FALSE)</f>
        <v/>
      </c>
      <c r="I120" s="1" t="str">
        <f>VLOOKUP(Filtro!F120,Comparacao!$G$7:$J$200,4,FALSE)</f>
        <v/>
      </c>
    </row>
    <row r="121" spans="1:9" x14ac:dyDescent="0.25">
      <c r="A121" s="3" t="str">
        <f t="array" ref="A121">IFERROR(INDEX(Comparacao!$A$7:$A$200,SMALL(IF(Comparacao!$E$7:$E$200=$A$2,ROW(Comparacao!$A$7:$A$200)),ROW(117:117))-6,1),"")</f>
        <v/>
      </c>
      <c r="B121" s="3" t="str">
        <f>IFERROR(VLOOKUP(A121,Lista1[],2,FALSE),"")</f>
        <v/>
      </c>
      <c r="C121" s="1" t="str">
        <f>VLOOKUP(Filtro!A121,Comparacao!$A$7:$D$200,3,FALSE)</f>
        <v/>
      </c>
      <c r="D121" s="1" t="str">
        <f>VLOOKUP(Filtro!A121,Comparacao!$A$7:$D$200,4,FALSE)</f>
        <v/>
      </c>
      <c r="F121" t="str">
        <f t="array" ref="F121">IFERROR(INDEX(Comparacao!$G$7:$G$200,SMALL(IF(Comparacao!$K$7:$K$200=$A$2,ROW(Comparacao!$G$7:$G$200)),ROW(117:117))-6,1),"")</f>
        <v/>
      </c>
      <c r="G121" t="str">
        <f>IFERROR(VLOOKUP(F121,Lista2[],2,FALSE),"")</f>
        <v/>
      </c>
      <c r="H121" s="1" t="str">
        <f>VLOOKUP(Filtro!F121,Comparacao!$G$7:$J$200,3,FALSE)</f>
        <v/>
      </c>
      <c r="I121" s="1" t="str">
        <f>VLOOKUP(Filtro!F121,Comparacao!$G$7:$J$200,4,FALSE)</f>
        <v/>
      </c>
    </row>
    <row r="122" spans="1:9" x14ac:dyDescent="0.25">
      <c r="A122" s="3" t="str">
        <f t="array" ref="A122">IFERROR(INDEX(Comparacao!$A$7:$A$200,SMALL(IF(Comparacao!$E$7:$E$200=$A$2,ROW(Comparacao!$A$7:$A$200)),ROW(118:118))-6,1),"")</f>
        <v/>
      </c>
      <c r="B122" s="3" t="str">
        <f>IFERROR(VLOOKUP(A122,Lista1[],2,FALSE),"")</f>
        <v/>
      </c>
      <c r="C122" s="1" t="str">
        <f>VLOOKUP(Filtro!A122,Comparacao!$A$7:$D$200,3,FALSE)</f>
        <v/>
      </c>
      <c r="D122" s="1" t="str">
        <f>VLOOKUP(Filtro!A122,Comparacao!$A$7:$D$200,4,FALSE)</f>
        <v/>
      </c>
      <c r="F122" t="str">
        <f t="array" ref="F122">IFERROR(INDEX(Comparacao!$G$7:$G$200,SMALL(IF(Comparacao!$K$7:$K$200=$A$2,ROW(Comparacao!$G$7:$G$200)),ROW(118:118))-6,1),"")</f>
        <v/>
      </c>
      <c r="G122" t="str">
        <f>IFERROR(VLOOKUP(F122,Lista2[],2,FALSE),"")</f>
        <v/>
      </c>
      <c r="H122" s="1" t="str">
        <f>VLOOKUP(Filtro!F122,Comparacao!$G$7:$J$200,3,FALSE)</f>
        <v/>
      </c>
      <c r="I122" s="1" t="str">
        <f>VLOOKUP(Filtro!F122,Comparacao!$G$7:$J$200,4,FALSE)</f>
        <v/>
      </c>
    </row>
    <row r="123" spans="1:9" x14ac:dyDescent="0.25">
      <c r="A123" s="3" t="str">
        <f t="array" ref="A123">IFERROR(INDEX(Comparacao!$A$7:$A$200,SMALL(IF(Comparacao!$E$7:$E$200=$A$2,ROW(Comparacao!$A$7:$A$200)),ROW(119:119))-6,1),"")</f>
        <v/>
      </c>
      <c r="B123" s="3" t="str">
        <f>IFERROR(VLOOKUP(A123,Lista1[],2,FALSE),"")</f>
        <v/>
      </c>
      <c r="C123" s="1" t="str">
        <f>VLOOKUP(Filtro!A123,Comparacao!$A$7:$D$200,3,FALSE)</f>
        <v/>
      </c>
      <c r="D123" s="1" t="str">
        <f>VLOOKUP(Filtro!A123,Comparacao!$A$7:$D$200,4,FALSE)</f>
        <v/>
      </c>
      <c r="F123" t="str">
        <f t="array" ref="F123">IFERROR(INDEX(Comparacao!$G$7:$G$200,SMALL(IF(Comparacao!$K$7:$K$200=$A$2,ROW(Comparacao!$G$7:$G$200)),ROW(119:119))-6,1),"")</f>
        <v/>
      </c>
      <c r="G123" t="str">
        <f>IFERROR(VLOOKUP(F123,Lista2[],2,FALSE),"")</f>
        <v/>
      </c>
      <c r="H123" s="1" t="str">
        <f>VLOOKUP(Filtro!F123,Comparacao!$G$7:$J$200,3,FALSE)</f>
        <v/>
      </c>
      <c r="I123" s="1" t="str">
        <f>VLOOKUP(Filtro!F123,Comparacao!$G$7:$J$200,4,FALSE)</f>
        <v/>
      </c>
    </row>
    <row r="124" spans="1:9" x14ac:dyDescent="0.25">
      <c r="A124" s="3" t="str">
        <f t="array" ref="A124">IFERROR(INDEX(Comparacao!$A$7:$A$200,SMALL(IF(Comparacao!$E$7:$E$200=$A$2,ROW(Comparacao!$A$7:$A$200)),ROW(120:120))-6,1),"")</f>
        <v/>
      </c>
      <c r="B124" s="3" t="str">
        <f>IFERROR(VLOOKUP(A124,Lista1[],2,FALSE),"")</f>
        <v/>
      </c>
      <c r="C124" s="1" t="str">
        <f>VLOOKUP(Filtro!A124,Comparacao!$A$7:$D$200,3,FALSE)</f>
        <v/>
      </c>
      <c r="D124" s="1" t="str">
        <f>VLOOKUP(Filtro!A124,Comparacao!$A$7:$D$200,4,FALSE)</f>
        <v/>
      </c>
      <c r="F124" t="str">
        <f t="array" ref="F124">IFERROR(INDEX(Comparacao!$G$7:$G$200,SMALL(IF(Comparacao!$K$7:$K$200=$A$2,ROW(Comparacao!$G$7:$G$200)),ROW(120:120))-6,1),"")</f>
        <v/>
      </c>
      <c r="G124" t="str">
        <f>IFERROR(VLOOKUP(F124,Lista2[],2,FALSE),"")</f>
        <v/>
      </c>
      <c r="H124" s="1" t="str">
        <f>VLOOKUP(Filtro!F124,Comparacao!$G$7:$J$200,3,FALSE)</f>
        <v/>
      </c>
      <c r="I124" s="1" t="str">
        <f>VLOOKUP(Filtro!F124,Comparacao!$G$7:$J$200,4,FALSE)</f>
        <v/>
      </c>
    </row>
    <row r="125" spans="1:9" x14ac:dyDescent="0.25">
      <c r="A125" s="3" t="str">
        <f t="array" ref="A125">IFERROR(INDEX(Comparacao!$A$7:$A$200,SMALL(IF(Comparacao!$E$7:$E$200=$A$2,ROW(Comparacao!$A$7:$A$200)),ROW(121:121))-6,1),"")</f>
        <v/>
      </c>
      <c r="B125" s="3" t="str">
        <f>IFERROR(VLOOKUP(A125,Lista1[],2,FALSE),"")</f>
        <v/>
      </c>
      <c r="C125" s="1" t="str">
        <f>VLOOKUP(Filtro!A125,Comparacao!$A$7:$D$200,3,FALSE)</f>
        <v/>
      </c>
      <c r="D125" s="1" t="str">
        <f>VLOOKUP(Filtro!A125,Comparacao!$A$7:$D$200,4,FALSE)</f>
        <v/>
      </c>
      <c r="F125" t="str">
        <f t="array" ref="F125">IFERROR(INDEX(Comparacao!$G$7:$G$200,SMALL(IF(Comparacao!$K$7:$K$200=$A$2,ROW(Comparacao!$G$7:$G$200)),ROW(121:121))-6,1),"")</f>
        <v/>
      </c>
      <c r="G125" t="str">
        <f>IFERROR(VLOOKUP(F125,Lista2[],2,FALSE),"")</f>
        <v/>
      </c>
      <c r="H125" s="1" t="str">
        <f>VLOOKUP(Filtro!F125,Comparacao!$G$7:$J$200,3,FALSE)</f>
        <v/>
      </c>
      <c r="I125" s="1" t="str">
        <f>VLOOKUP(Filtro!F125,Comparacao!$G$7:$J$200,4,FALSE)</f>
        <v/>
      </c>
    </row>
    <row r="126" spans="1:9" x14ac:dyDescent="0.25">
      <c r="A126" s="3" t="str">
        <f t="array" ref="A126">IFERROR(INDEX(Comparacao!$A$7:$A$200,SMALL(IF(Comparacao!$E$7:$E$200=$A$2,ROW(Comparacao!$A$7:$A$200)),ROW(122:122))-6,1),"")</f>
        <v/>
      </c>
      <c r="B126" s="3" t="str">
        <f>IFERROR(VLOOKUP(A126,Lista1[],2,FALSE),"")</f>
        <v/>
      </c>
      <c r="C126" s="1" t="str">
        <f>VLOOKUP(Filtro!A126,Comparacao!$A$7:$D$200,3,FALSE)</f>
        <v/>
      </c>
      <c r="D126" s="1" t="str">
        <f>VLOOKUP(Filtro!A126,Comparacao!$A$7:$D$200,4,FALSE)</f>
        <v/>
      </c>
      <c r="F126" t="str">
        <f t="array" ref="F126">IFERROR(INDEX(Comparacao!$G$7:$G$200,SMALL(IF(Comparacao!$K$7:$K$200=$A$2,ROW(Comparacao!$G$7:$G$200)),ROW(122:122))-6,1),"")</f>
        <v/>
      </c>
      <c r="G126" t="str">
        <f>IFERROR(VLOOKUP(F126,Lista2[],2,FALSE),"")</f>
        <v/>
      </c>
      <c r="H126" s="1" t="str">
        <f>VLOOKUP(Filtro!F126,Comparacao!$G$7:$J$200,3,FALSE)</f>
        <v/>
      </c>
      <c r="I126" s="1" t="str">
        <f>VLOOKUP(Filtro!F126,Comparacao!$G$7:$J$200,4,FALSE)</f>
        <v/>
      </c>
    </row>
    <row r="127" spans="1:9" x14ac:dyDescent="0.25">
      <c r="A127" s="3" t="str">
        <f t="array" ref="A127">IFERROR(INDEX(Comparacao!$A$7:$A$200,SMALL(IF(Comparacao!$E$7:$E$200=$A$2,ROW(Comparacao!$A$7:$A$200)),ROW(123:123))-6,1),"")</f>
        <v/>
      </c>
      <c r="B127" s="3" t="str">
        <f>IFERROR(VLOOKUP(A127,Lista1[],2,FALSE),"")</f>
        <v/>
      </c>
      <c r="C127" s="1" t="str">
        <f>VLOOKUP(Filtro!A127,Comparacao!$A$7:$D$200,3,FALSE)</f>
        <v/>
      </c>
      <c r="D127" s="1" t="str">
        <f>VLOOKUP(Filtro!A127,Comparacao!$A$7:$D$200,4,FALSE)</f>
        <v/>
      </c>
      <c r="F127" t="str">
        <f t="array" ref="F127">IFERROR(INDEX(Comparacao!$G$7:$G$200,SMALL(IF(Comparacao!$K$7:$K$200=$A$2,ROW(Comparacao!$G$7:$G$200)),ROW(123:123))-6,1),"")</f>
        <v/>
      </c>
      <c r="G127" t="str">
        <f>IFERROR(VLOOKUP(F127,Lista2[],2,FALSE),"")</f>
        <v/>
      </c>
      <c r="H127" s="1" t="str">
        <f>VLOOKUP(Filtro!F127,Comparacao!$G$7:$J$200,3,FALSE)</f>
        <v/>
      </c>
      <c r="I127" s="1" t="str">
        <f>VLOOKUP(Filtro!F127,Comparacao!$G$7:$J$200,4,FALSE)</f>
        <v/>
      </c>
    </row>
    <row r="128" spans="1:9" x14ac:dyDescent="0.25">
      <c r="A128" s="3" t="str">
        <f t="array" ref="A128">IFERROR(INDEX(Comparacao!$A$7:$A$200,SMALL(IF(Comparacao!$E$7:$E$200=$A$2,ROW(Comparacao!$A$7:$A$200)),ROW(124:124))-6,1),"")</f>
        <v/>
      </c>
      <c r="B128" s="3" t="str">
        <f>IFERROR(VLOOKUP(A128,Lista1[],2,FALSE),"")</f>
        <v/>
      </c>
      <c r="C128" s="1" t="str">
        <f>VLOOKUP(Filtro!A128,Comparacao!$A$7:$D$200,3,FALSE)</f>
        <v/>
      </c>
      <c r="D128" s="1" t="str">
        <f>VLOOKUP(Filtro!A128,Comparacao!$A$7:$D$200,4,FALSE)</f>
        <v/>
      </c>
      <c r="F128" t="str">
        <f t="array" ref="F128">IFERROR(INDEX(Comparacao!$G$7:$G$200,SMALL(IF(Comparacao!$K$7:$K$200=$A$2,ROW(Comparacao!$G$7:$G$200)),ROW(124:124))-6,1),"")</f>
        <v/>
      </c>
      <c r="G128" t="str">
        <f>IFERROR(VLOOKUP(F128,Lista2[],2,FALSE),"")</f>
        <v/>
      </c>
      <c r="H128" s="1" t="str">
        <f>VLOOKUP(Filtro!F128,Comparacao!$G$7:$J$200,3,FALSE)</f>
        <v/>
      </c>
      <c r="I128" s="1" t="str">
        <f>VLOOKUP(Filtro!F128,Comparacao!$G$7:$J$200,4,FALSE)</f>
        <v/>
      </c>
    </row>
    <row r="129" spans="1:9" x14ac:dyDescent="0.25">
      <c r="A129" s="3" t="str">
        <f t="array" ref="A129">IFERROR(INDEX(Comparacao!$A$7:$A$200,SMALL(IF(Comparacao!$E$7:$E$200=$A$2,ROW(Comparacao!$A$7:$A$200)),ROW(125:125))-6,1),"")</f>
        <v/>
      </c>
      <c r="B129" s="3" t="str">
        <f>IFERROR(VLOOKUP(A129,Lista1[],2,FALSE),"")</f>
        <v/>
      </c>
      <c r="C129" s="1" t="str">
        <f>VLOOKUP(Filtro!A129,Comparacao!$A$7:$D$200,3,FALSE)</f>
        <v/>
      </c>
      <c r="D129" s="1" t="str">
        <f>VLOOKUP(Filtro!A129,Comparacao!$A$7:$D$200,4,FALSE)</f>
        <v/>
      </c>
      <c r="F129" t="str">
        <f t="array" ref="F129">IFERROR(INDEX(Comparacao!$G$7:$G$200,SMALL(IF(Comparacao!$K$7:$K$200=$A$2,ROW(Comparacao!$G$7:$G$200)),ROW(125:125))-6,1),"")</f>
        <v/>
      </c>
      <c r="G129" t="str">
        <f>IFERROR(VLOOKUP(F129,Lista2[],2,FALSE),"")</f>
        <v/>
      </c>
      <c r="H129" s="1" t="str">
        <f>VLOOKUP(Filtro!F129,Comparacao!$G$7:$J$200,3,FALSE)</f>
        <v/>
      </c>
      <c r="I129" s="1" t="str">
        <f>VLOOKUP(Filtro!F129,Comparacao!$G$7:$J$200,4,FALSE)</f>
        <v/>
      </c>
    </row>
    <row r="130" spans="1:9" x14ac:dyDescent="0.25">
      <c r="A130" s="3" t="str">
        <f t="array" ref="A130">IFERROR(INDEX(Comparacao!$A$7:$A$200,SMALL(IF(Comparacao!$E$7:$E$200=$A$2,ROW(Comparacao!$A$7:$A$200)),ROW(126:126))-6,1),"")</f>
        <v/>
      </c>
      <c r="B130" s="3" t="str">
        <f>IFERROR(VLOOKUP(A130,Lista1[],2,FALSE),"")</f>
        <v/>
      </c>
      <c r="C130" s="1" t="str">
        <f>VLOOKUP(Filtro!A130,Comparacao!$A$7:$D$200,3,FALSE)</f>
        <v/>
      </c>
      <c r="D130" s="1" t="str">
        <f>VLOOKUP(Filtro!A130,Comparacao!$A$7:$D$200,4,FALSE)</f>
        <v/>
      </c>
      <c r="F130" t="str">
        <f t="array" ref="F130">IFERROR(INDEX(Comparacao!$G$7:$G$200,SMALL(IF(Comparacao!$K$7:$K$200=$A$2,ROW(Comparacao!$G$7:$G$200)),ROW(126:126))-6,1),"")</f>
        <v/>
      </c>
      <c r="G130" t="str">
        <f>IFERROR(VLOOKUP(F130,Lista2[],2,FALSE),"")</f>
        <v/>
      </c>
      <c r="H130" s="1" t="str">
        <f>VLOOKUP(Filtro!F130,Comparacao!$G$7:$J$200,3,FALSE)</f>
        <v/>
      </c>
      <c r="I130" s="1" t="str">
        <f>VLOOKUP(Filtro!F130,Comparacao!$G$7:$J$200,4,FALSE)</f>
        <v/>
      </c>
    </row>
    <row r="131" spans="1:9" x14ac:dyDescent="0.25">
      <c r="A131" s="3" t="str">
        <f t="array" ref="A131">IFERROR(INDEX(Comparacao!$A$7:$A$200,SMALL(IF(Comparacao!$E$7:$E$200=$A$2,ROW(Comparacao!$A$7:$A$200)),ROW(127:127))-6,1),"")</f>
        <v/>
      </c>
      <c r="B131" s="3" t="str">
        <f>IFERROR(VLOOKUP(A131,Lista1[],2,FALSE),"")</f>
        <v/>
      </c>
      <c r="C131" s="1" t="str">
        <f>VLOOKUP(Filtro!A131,Comparacao!$A$7:$D$200,3,FALSE)</f>
        <v/>
      </c>
      <c r="D131" s="1" t="str">
        <f>VLOOKUP(Filtro!A131,Comparacao!$A$7:$D$200,4,FALSE)</f>
        <v/>
      </c>
      <c r="F131" t="str">
        <f t="array" ref="F131">IFERROR(INDEX(Comparacao!$G$7:$G$200,SMALL(IF(Comparacao!$K$7:$K$200=$A$2,ROW(Comparacao!$G$7:$G$200)),ROW(127:127))-6,1),"")</f>
        <v/>
      </c>
      <c r="G131" t="str">
        <f>IFERROR(VLOOKUP(F131,Lista2[],2,FALSE),"")</f>
        <v/>
      </c>
      <c r="H131" s="1" t="str">
        <f>VLOOKUP(Filtro!F131,Comparacao!$G$7:$J$200,3,FALSE)</f>
        <v/>
      </c>
      <c r="I131" s="1" t="str">
        <f>VLOOKUP(Filtro!F131,Comparacao!$G$7:$J$200,4,FALSE)</f>
        <v/>
      </c>
    </row>
    <row r="132" spans="1:9" x14ac:dyDescent="0.25">
      <c r="A132" s="3" t="str">
        <f t="array" ref="A132">IFERROR(INDEX(Comparacao!$A$7:$A$200,SMALL(IF(Comparacao!$E$7:$E$200=$A$2,ROW(Comparacao!$A$7:$A$200)),ROW(128:128))-6,1),"")</f>
        <v/>
      </c>
      <c r="B132" s="3" t="str">
        <f>IFERROR(VLOOKUP(A132,Lista1[],2,FALSE),"")</f>
        <v/>
      </c>
      <c r="C132" s="1" t="str">
        <f>VLOOKUP(Filtro!A132,Comparacao!$A$7:$D$200,3,FALSE)</f>
        <v/>
      </c>
      <c r="D132" s="1" t="str">
        <f>VLOOKUP(Filtro!A132,Comparacao!$A$7:$D$200,4,FALSE)</f>
        <v/>
      </c>
      <c r="F132" t="str">
        <f t="array" ref="F132">IFERROR(INDEX(Comparacao!$G$7:$G$200,SMALL(IF(Comparacao!$K$7:$K$200=$A$2,ROW(Comparacao!$G$7:$G$200)),ROW(128:128))-6,1),"")</f>
        <v/>
      </c>
      <c r="G132" t="str">
        <f>IFERROR(VLOOKUP(F132,Lista2[],2,FALSE),"")</f>
        <v/>
      </c>
      <c r="H132" s="1" t="str">
        <f>VLOOKUP(Filtro!F132,Comparacao!$G$7:$J$200,3,FALSE)</f>
        <v/>
      </c>
      <c r="I132" s="1" t="str">
        <f>VLOOKUP(Filtro!F132,Comparacao!$G$7:$J$200,4,FALSE)</f>
        <v/>
      </c>
    </row>
    <row r="133" spans="1:9" x14ac:dyDescent="0.25">
      <c r="A133" s="3" t="str">
        <f t="array" ref="A133">IFERROR(INDEX(Comparacao!$A$7:$A$200,SMALL(IF(Comparacao!$E$7:$E$200=$A$2,ROW(Comparacao!$A$7:$A$200)),ROW(129:129))-6,1),"")</f>
        <v/>
      </c>
      <c r="B133" s="3" t="str">
        <f>IFERROR(VLOOKUP(A133,Lista1[],2,FALSE),"")</f>
        <v/>
      </c>
      <c r="C133" s="1" t="str">
        <f>VLOOKUP(Filtro!A133,Comparacao!$A$7:$D$200,3,FALSE)</f>
        <v/>
      </c>
      <c r="D133" s="1" t="str">
        <f>VLOOKUP(Filtro!A133,Comparacao!$A$7:$D$200,4,FALSE)</f>
        <v/>
      </c>
      <c r="F133" t="str">
        <f t="array" ref="F133">IFERROR(INDEX(Comparacao!$G$7:$G$200,SMALL(IF(Comparacao!$K$7:$K$200=$A$2,ROW(Comparacao!$G$7:$G$200)),ROW(129:129))-6,1),"")</f>
        <v/>
      </c>
      <c r="G133" t="str">
        <f>IFERROR(VLOOKUP(F133,Lista2[],2,FALSE),"")</f>
        <v/>
      </c>
      <c r="H133" s="1" t="str">
        <f>VLOOKUP(Filtro!F133,Comparacao!$G$7:$J$200,3,FALSE)</f>
        <v/>
      </c>
      <c r="I133" s="1" t="str">
        <f>VLOOKUP(Filtro!F133,Comparacao!$G$7:$J$200,4,FALSE)</f>
        <v/>
      </c>
    </row>
    <row r="134" spans="1:9" x14ac:dyDescent="0.25">
      <c r="A134" s="3" t="str">
        <f t="array" ref="A134">IFERROR(INDEX(Comparacao!$A$7:$A$200,SMALL(IF(Comparacao!$E$7:$E$200=$A$2,ROW(Comparacao!$A$7:$A$200)),ROW(130:130))-6,1),"")</f>
        <v/>
      </c>
      <c r="B134" s="3" t="str">
        <f>IFERROR(VLOOKUP(A134,Lista1[],2,FALSE),"")</f>
        <v/>
      </c>
      <c r="C134" s="1" t="str">
        <f>VLOOKUP(Filtro!A134,Comparacao!$A$7:$D$200,3,FALSE)</f>
        <v/>
      </c>
      <c r="D134" s="1" t="str">
        <f>VLOOKUP(Filtro!A134,Comparacao!$A$7:$D$200,4,FALSE)</f>
        <v/>
      </c>
      <c r="F134" t="str">
        <f t="array" ref="F134">IFERROR(INDEX(Comparacao!$G$7:$G$200,SMALL(IF(Comparacao!$K$7:$K$200=$A$2,ROW(Comparacao!$G$7:$G$200)),ROW(130:130))-6,1),"")</f>
        <v/>
      </c>
      <c r="G134" t="str">
        <f>IFERROR(VLOOKUP(F134,Lista2[],2,FALSE),"")</f>
        <v/>
      </c>
      <c r="H134" s="1" t="str">
        <f>VLOOKUP(Filtro!F134,Comparacao!$G$7:$J$200,3,FALSE)</f>
        <v/>
      </c>
      <c r="I134" s="1" t="str">
        <f>VLOOKUP(Filtro!F134,Comparacao!$G$7:$J$200,4,FALSE)</f>
        <v/>
      </c>
    </row>
    <row r="135" spans="1:9" x14ac:dyDescent="0.25">
      <c r="A135" s="3" t="str">
        <f t="array" ref="A135">IFERROR(INDEX(Comparacao!$A$7:$A$200,SMALL(IF(Comparacao!$E$7:$E$200=$A$2,ROW(Comparacao!$A$7:$A$200)),ROW(131:131))-6,1),"")</f>
        <v/>
      </c>
      <c r="B135" s="3" t="str">
        <f>IFERROR(VLOOKUP(A135,Lista1[],2,FALSE),"")</f>
        <v/>
      </c>
      <c r="C135" s="1" t="str">
        <f>VLOOKUP(Filtro!A135,Comparacao!$A$7:$D$200,3,FALSE)</f>
        <v/>
      </c>
      <c r="D135" s="1" t="str">
        <f>VLOOKUP(Filtro!A135,Comparacao!$A$7:$D$200,4,FALSE)</f>
        <v/>
      </c>
      <c r="F135" t="str">
        <f t="array" ref="F135">IFERROR(INDEX(Comparacao!$G$7:$G$200,SMALL(IF(Comparacao!$K$7:$K$200=$A$2,ROW(Comparacao!$G$7:$G$200)),ROW(131:131))-6,1),"")</f>
        <v/>
      </c>
      <c r="G135" t="str">
        <f>IFERROR(VLOOKUP(F135,Lista2[],2,FALSE),"")</f>
        <v/>
      </c>
      <c r="H135" s="1" t="str">
        <f>VLOOKUP(Filtro!F135,Comparacao!$G$7:$J$200,3,FALSE)</f>
        <v/>
      </c>
      <c r="I135" s="1" t="str">
        <f>VLOOKUP(Filtro!F135,Comparacao!$G$7:$J$200,4,FALSE)</f>
        <v/>
      </c>
    </row>
    <row r="136" spans="1:9" x14ac:dyDescent="0.25">
      <c r="A136" s="3" t="str">
        <f t="array" ref="A136">IFERROR(INDEX(Comparacao!$A$7:$A$200,SMALL(IF(Comparacao!$E$7:$E$200=$A$2,ROW(Comparacao!$A$7:$A$200)),ROW(132:132))-6,1),"")</f>
        <v/>
      </c>
      <c r="B136" s="3" t="str">
        <f>IFERROR(VLOOKUP(A136,Lista1[],2,FALSE),"")</f>
        <v/>
      </c>
      <c r="C136" s="1" t="str">
        <f>VLOOKUP(Filtro!A136,Comparacao!$A$7:$D$200,3,FALSE)</f>
        <v/>
      </c>
      <c r="D136" s="1" t="str">
        <f>VLOOKUP(Filtro!A136,Comparacao!$A$7:$D$200,4,FALSE)</f>
        <v/>
      </c>
      <c r="F136" t="str">
        <f t="array" ref="F136">IFERROR(INDEX(Comparacao!$G$7:$G$200,SMALL(IF(Comparacao!$K$7:$K$200=$A$2,ROW(Comparacao!$G$7:$G$200)),ROW(132:132))-6,1),"")</f>
        <v/>
      </c>
      <c r="G136" t="str">
        <f>IFERROR(VLOOKUP(F136,Lista2[],2,FALSE),"")</f>
        <v/>
      </c>
      <c r="H136" s="1" t="str">
        <f>VLOOKUP(Filtro!F136,Comparacao!$G$7:$J$200,3,FALSE)</f>
        <v/>
      </c>
      <c r="I136" s="1" t="str">
        <f>VLOOKUP(Filtro!F136,Comparacao!$G$7:$J$200,4,FALSE)</f>
        <v/>
      </c>
    </row>
    <row r="137" spans="1:9" x14ac:dyDescent="0.25">
      <c r="A137" s="3" t="str">
        <f t="array" ref="A137">IFERROR(INDEX(Comparacao!$A$7:$A$200,SMALL(IF(Comparacao!$E$7:$E$200=$A$2,ROW(Comparacao!$A$7:$A$200)),ROW(133:133))-6,1),"")</f>
        <v/>
      </c>
      <c r="B137" s="3" t="str">
        <f>IFERROR(VLOOKUP(A137,Lista1[],2,FALSE),"")</f>
        <v/>
      </c>
      <c r="C137" s="1" t="str">
        <f>VLOOKUP(Filtro!A137,Comparacao!$A$7:$D$200,3,FALSE)</f>
        <v/>
      </c>
      <c r="D137" s="1" t="str">
        <f>VLOOKUP(Filtro!A137,Comparacao!$A$7:$D$200,4,FALSE)</f>
        <v/>
      </c>
      <c r="F137" t="str">
        <f t="array" ref="F137">IFERROR(INDEX(Comparacao!$G$7:$G$200,SMALL(IF(Comparacao!$K$7:$K$200=$A$2,ROW(Comparacao!$G$7:$G$200)),ROW(133:133))-6,1),"")</f>
        <v/>
      </c>
      <c r="G137" t="str">
        <f>IFERROR(VLOOKUP(F137,Lista2[],2,FALSE),"")</f>
        <v/>
      </c>
      <c r="H137" s="1" t="str">
        <f>VLOOKUP(Filtro!F137,Comparacao!$G$7:$J$200,3,FALSE)</f>
        <v/>
      </c>
      <c r="I137" s="1" t="str">
        <f>VLOOKUP(Filtro!F137,Comparacao!$G$7:$J$200,4,FALSE)</f>
        <v/>
      </c>
    </row>
    <row r="138" spans="1:9" x14ac:dyDescent="0.25">
      <c r="A138" s="3" t="str">
        <f t="array" ref="A138">IFERROR(INDEX(Comparacao!$A$7:$A$200,SMALL(IF(Comparacao!$E$7:$E$200=$A$2,ROW(Comparacao!$A$7:$A$200)),ROW(134:134))-6,1),"")</f>
        <v/>
      </c>
      <c r="B138" s="3" t="str">
        <f>IFERROR(VLOOKUP(A138,Lista1[],2,FALSE),"")</f>
        <v/>
      </c>
      <c r="C138" s="1" t="str">
        <f>VLOOKUP(Filtro!A138,Comparacao!$A$7:$D$200,3,FALSE)</f>
        <v/>
      </c>
      <c r="D138" s="1" t="str">
        <f>VLOOKUP(Filtro!A138,Comparacao!$A$7:$D$200,4,FALSE)</f>
        <v/>
      </c>
      <c r="F138" t="str">
        <f t="array" ref="F138">IFERROR(INDEX(Comparacao!$G$7:$G$200,SMALL(IF(Comparacao!$K$7:$K$200=$A$2,ROW(Comparacao!$G$7:$G$200)),ROW(134:134))-6,1),"")</f>
        <v/>
      </c>
      <c r="G138" t="str">
        <f>IFERROR(VLOOKUP(F138,Lista2[],2,FALSE),"")</f>
        <v/>
      </c>
      <c r="H138" s="1" t="str">
        <f>VLOOKUP(Filtro!F138,Comparacao!$G$7:$J$200,3,FALSE)</f>
        <v/>
      </c>
      <c r="I138" s="1" t="str">
        <f>VLOOKUP(Filtro!F138,Comparacao!$G$7:$J$200,4,FALSE)</f>
        <v/>
      </c>
    </row>
    <row r="139" spans="1:9" x14ac:dyDescent="0.25">
      <c r="A139" s="3" t="str">
        <f t="array" ref="A139">IFERROR(INDEX(Comparacao!$A$7:$A$200,SMALL(IF(Comparacao!$E$7:$E$200=$A$2,ROW(Comparacao!$A$7:$A$200)),ROW(135:135))-6,1),"")</f>
        <v/>
      </c>
      <c r="B139" s="3" t="str">
        <f>IFERROR(VLOOKUP(A139,Lista1[],2,FALSE),"")</f>
        <v/>
      </c>
      <c r="C139" s="1" t="str">
        <f>VLOOKUP(Filtro!A139,Comparacao!$A$7:$D$200,3,FALSE)</f>
        <v/>
      </c>
      <c r="D139" s="1" t="str">
        <f>VLOOKUP(Filtro!A139,Comparacao!$A$7:$D$200,4,FALSE)</f>
        <v/>
      </c>
      <c r="F139" t="str">
        <f t="array" ref="F139">IFERROR(INDEX(Comparacao!$G$7:$G$200,SMALL(IF(Comparacao!$K$7:$K$200=$A$2,ROW(Comparacao!$G$7:$G$200)),ROW(135:135))-6,1),"")</f>
        <v/>
      </c>
      <c r="G139" t="str">
        <f>IFERROR(VLOOKUP(F139,Lista2[],2,FALSE),"")</f>
        <v/>
      </c>
      <c r="H139" s="1" t="str">
        <f>VLOOKUP(Filtro!F139,Comparacao!$G$7:$J$200,3,FALSE)</f>
        <v/>
      </c>
      <c r="I139" s="1" t="str">
        <f>VLOOKUP(Filtro!F139,Comparacao!$G$7:$J$200,4,FALSE)</f>
        <v/>
      </c>
    </row>
    <row r="140" spans="1:9" x14ac:dyDescent="0.25">
      <c r="A140" s="3" t="str">
        <f t="array" ref="A140">IFERROR(INDEX(Comparacao!$A$7:$A$200,SMALL(IF(Comparacao!$E$7:$E$200=$A$2,ROW(Comparacao!$A$7:$A$200)),ROW(136:136))-6,1),"")</f>
        <v/>
      </c>
      <c r="B140" s="3" t="str">
        <f>IFERROR(VLOOKUP(A140,Lista1[],2,FALSE),"")</f>
        <v/>
      </c>
      <c r="C140" s="1" t="str">
        <f>VLOOKUP(Filtro!A140,Comparacao!$A$7:$D$200,3,FALSE)</f>
        <v/>
      </c>
      <c r="D140" s="1" t="str">
        <f>VLOOKUP(Filtro!A140,Comparacao!$A$7:$D$200,4,FALSE)</f>
        <v/>
      </c>
      <c r="F140" t="str">
        <f t="array" ref="F140">IFERROR(INDEX(Comparacao!$G$7:$G$200,SMALL(IF(Comparacao!$K$7:$K$200=$A$2,ROW(Comparacao!$G$7:$G$200)),ROW(136:136))-6,1),"")</f>
        <v/>
      </c>
      <c r="G140" t="str">
        <f>IFERROR(VLOOKUP(F140,Lista2[],2,FALSE),"")</f>
        <v/>
      </c>
      <c r="H140" s="1" t="str">
        <f>VLOOKUP(Filtro!F140,Comparacao!$G$7:$J$200,3,FALSE)</f>
        <v/>
      </c>
      <c r="I140" s="1" t="str">
        <f>VLOOKUP(Filtro!F140,Comparacao!$G$7:$J$200,4,FALSE)</f>
        <v/>
      </c>
    </row>
    <row r="141" spans="1:9" x14ac:dyDescent="0.25">
      <c r="A141" s="3" t="str">
        <f t="array" ref="A141">IFERROR(INDEX(Comparacao!$A$7:$A$200,SMALL(IF(Comparacao!$E$7:$E$200=$A$2,ROW(Comparacao!$A$7:$A$200)),ROW(137:137))-6,1),"")</f>
        <v/>
      </c>
      <c r="B141" s="3" t="str">
        <f>IFERROR(VLOOKUP(A141,Lista1[],2,FALSE),"")</f>
        <v/>
      </c>
      <c r="C141" s="1" t="str">
        <f>VLOOKUP(Filtro!A141,Comparacao!$A$7:$D$200,3,FALSE)</f>
        <v/>
      </c>
      <c r="D141" s="1" t="str">
        <f>VLOOKUP(Filtro!A141,Comparacao!$A$7:$D$200,4,FALSE)</f>
        <v/>
      </c>
      <c r="F141" t="str">
        <f t="array" ref="F141">IFERROR(INDEX(Comparacao!$G$7:$G$200,SMALL(IF(Comparacao!$K$7:$K$200=$A$2,ROW(Comparacao!$G$7:$G$200)),ROW(137:137))-6,1),"")</f>
        <v/>
      </c>
      <c r="G141" t="str">
        <f>IFERROR(VLOOKUP(F141,Lista2[],2,FALSE),"")</f>
        <v/>
      </c>
      <c r="H141" s="1" t="str">
        <f>VLOOKUP(Filtro!F141,Comparacao!$G$7:$J$200,3,FALSE)</f>
        <v/>
      </c>
      <c r="I141" s="1" t="str">
        <f>VLOOKUP(Filtro!F141,Comparacao!$G$7:$J$200,4,FALSE)</f>
        <v/>
      </c>
    </row>
    <row r="142" spans="1:9" x14ac:dyDescent="0.25">
      <c r="A142" s="3" t="str">
        <f t="array" ref="A142">IFERROR(INDEX(Comparacao!$A$7:$A$200,SMALL(IF(Comparacao!$E$7:$E$200=$A$2,ROW(Comparacao!$A$7:$A$200)),ROW(138:138))-6,1),"")</f>
        <v/>
      </c>
      <c r="B142" s="3" t="str">
        <f>IFERROR(VLOOKUP(A142,Lista1[],2,FALSE),"")</f>
        <v/>
      </c>
      <c r="C142" s="1" t="str">
        <f>VLOOKUP(Filtro!A142,Comparacao!$A$7:$D$200,3,FALSE)</f>
        <v/>
      </c>
      <c r="D142" s="1" t="str">
        <f>VLOOKUP(Filtro!A142,Comparacao!$A$7:$D$200,4,FALSE)</f>
        <v/>
      </c>
      <c r="F142" t="str">
        <f t="array" ref="F142">IFERROR(INDEX(Comparacao!$G$7:$G$200,SMALL(IF(Comparacao!$K$7:$K$200=$A$2,ROW(Comparacao!$G$7:$G$200)),ROW(138:138))-6,1),"")</f>
        <v/>
      </c>
      <c r="G142" t="str">
        <f>IFERROR(VLOOKUP(F142,Lista2[],2,FALSE),"")</f>
        <v/>
      </c>
      <c r="H142" s="1" t="str">
        <f>VLOOKUP(Filtro!F142,Comparacao!$G$7:$J$200,3,FALSE)</f>
        <v/>
      </c>
      <c r="I142" s="1" t="str">
        <f>VLOOKUP(Filtro!F142,Comparacao!$G$7:$J$200,4,FALSE)</f>
        <v/>
      </c>
    </row>
    <row r="143" spans="1:9" x14ac:dyDescent="0.25">
      <c r="A143" s="3" t="str">
        <f t="array" ref="A143">IFERROR(INDEX(Comparacao!$A$7:$A$200,SMALL(IF(Comparacao!$E$7:$E$200=$A$2,ROW(Comparacao!$A$7:$A$200)),ROW(139:139))-6,1),"")</f>
        <v/>
      </c>
      <c r="B143" s="3" t="str">
        <f>IFERROR(VLOOKUP(A143,Lista1[],2,FALSE),"")</f>
        <v/>
      </c>
      <c r="C143" s="1" t="str">
        <f>VLOOKUP(Filtro!A143,Comparacao!$A$7:$D$200,3,FALSE)</f>
        <v/>
      </c>
      <c r="D143" s="1" t="str">
        <f>VLOOKUP(Filtro!A143,Comparacao!$A$7:$D$200,4,FALSE)</f>
        <v/>
      </c>
      <c r="F143" t="str">
        <f t="array" ref="F143">IFERROR(INDEX(Comparacao!$G$7:$G$200,SMALL(IF(Comparacao!$K$7:$K$200=$A$2,ROW(Comparacao!$G$7:$G$200)),ROW(139:139))-6,1),"")</f>
        <v/>
      </c>
      <c r="G143" t="str">
        <f>IFERROR(VLOOKUP(F143,Lista2[],2,FALSE),"")</f>
        <v/>
      </c>
      <c r="H143" s="1" t="str">
        <f>VLOOKUP(Filtro!F143,Comparacao!$G$7:$J$200,3,FALSE)</f>
        <v/>
      </c>
      <c r="I143" s="1" t="str">
        <f>VLOOKUP(Filtro!F143,Comparacao!$G$7:$J$200,4,FALSE)</f>
        <v/>
      </c>
    </row>
    <row r="144" spans="1:9" x14ac:dyDescent="0.25">
      <c r="A144" s="3" t="str">
        <f t="array" ref="A144">IFERROR(INDEX(Comparacao!$A$7:$A$200,SMALL(IF(Comparacao!$E$7:$E$200=$A$2,ROW(Comparacao!$A$7:$A$200)),ROW(140:140))-6,1),"")</f>
        <v/>
      </c>
      <c r="B144" s="3" t="str">
        <f>IFERROR(VLOOKUP(A144,Lista1[],2,FALSE),"")</f>
        <v/>
      </c>
      <c r="C144" s="1" t="str">
        <f>VLOOKUP(Filtro!A144,Comparacao!$A$7:$D$200,3,FALSE)</f>
        <v/>
      </c>
      <c r="D144" s="1" t="str">
        <f>VLOOKUP(Filtro!A144,Comparacao!$A$7:$D$200,4,FALSE)</f>
        <v/>
      </c>
      <c r="F144" t="str">
        <f t="array" ref="F144">IFERROR(INDEX(Comparacao!$G$7:$G$200,SMALL(IF(Comparacao!$K$7:$K$200=$A$2,ROW(Comparacao!$G$7:$G$200)),ROW(140:140))-6,1),"")</f>
        <v/>
      </c>
      <c r="G144" t="str">
        <f>IFERROR(VLOOKUP(F144,Lista2[],2,FALSE),"")</f>
        <v/>
      </c>
      <c r="H144" s="1" t="str">
        <f>VLOOKUP(Filtro!F144,Comparacao!$G$7:$J$200,3,FALSE)</f>
        <v/>
      </c>
      <c r="I144" s="1" t="str">
        <f>VLOOKUP(Filtro!F144,Comparacao!$G$7:$J$200,4,FALSE)</f>
        <v/>
      </c>
    </row>
    <row r="145" spans="1:9" x14ac:dyDescent="0.25">
      <c r="A145" s="3" t="str">
        <f t="array" ref="A145">IFERROR(INDEX(Comparacao!$A$7:$A$200,SMALL(IF(Comparacao!$E$7:$E$200=$A$2,ROW(Comparacao!$A$7:$A$200)),ROW(141:141))-6,1),"")</f>
        <v/>
      </c>
      <c r="B145" s="3" t="str">
        <f>IFERROR(VLOOKUP(A145,Lista1[],2,FALSE),"")</f>
        <v/>
      </c>
      <c r="C145" s="1" t="str">
        <f>VLOOKUP(Filtro!A145,Comparacao!$A$7:$D$200,3,FALSE)</f>
        <v/>
      </c>
      <c r="D145" s="1" t="str">
        <f>VLOOKUP(Filtro!A145,Comparacao!$A$7:$D$200,4,FALSE)</f>
        <v/>
      </c>
      <c r="F145" t="str">
        <f t="array" ref="F145">IFERROR(INDEX(Comparacao!$G$7:$G$200,SMALL(IF(Comparacao!$K$7:$K$200=$A$2,ROW(Comparacao!$G$7:$G$200)),ROW(141:141))-6,1),"")</f>
        <v/>
      </c>
      <c r="G145" t="str">
        <f>IFERROR(VLOOKUP(F145,Lista2[],2,FALSE),"")</f>
        <v/>
      </c>
      <c r="H145" s="1" t="str">
        <f>VLOOKUP(Filtro!F145,Comparacao!$G$7:$J$200,3,FALSE)</f>
        <v/>
      </c>
      <c r="I145" s="1" t="str">
        <f>VLOOKUP(Filtro!F145,Comparacao!$G$7:$J$200,4,FALSE)</f>
        <v/>
      </c>
    </row>
    <row r="146" spans="1:9" x14ac:dyDescent="0.25">
      <c r="A146" s="3" t="str">
        <f t="array" ref="A146">IFERROR(INDEX(Comparacao!$A$7:$A$200,SMALL(IF(Comparacao!$E$7:$E$200=$A$2,ROW(Comparacao!$A$7:$A$200)),ROW(142:142))-6,1),"")</f>
        <v/>
      </c>
      <c r="B146" s="3" t="str">
        <f>IFERROR(VLOOKUP(A146,Lista1[],2,FALSE),"")</f>
        <v/>
      </c>
      <c r="C146" s="1" t="str">
        <f>VLOOKUP(Filtro!A146,Comparacao!$A$7:$D$200,3,FALSE)</f>
        <v/>
      </c>
      <c r="D146" s="1" t="str">
        <f>VLOOKUP(Filtro!A146,Comparacao!$A$7:$D$200,4,FALSE)</f>
        <v/>
      </c>
      <c r="F146" t="str">
        <f t="array" ref="F146">IFERROR(INDEX(Comparacao!$G$7:$G$200,SMALL(IF(Comparacao!$K$7:$K$200=$A$2,ROW(Comparacao!$G$7:$G$200)),ROW(142:142))-6,1),"")</f>
        <v/>
      </c>
      <c r="G146" t="str">
        <f>IFERROR(VLOOKUP(F146,Lista2[],2,FALSE),"")</f>
        <v/>
      </c>
      <c r="H146" s="1" t="str">
        <f>VLOOKUP(Filtro!F146,Comparacao!$G$7:$J$200,3,FALSE)</f>
        <v/>
      </c>
      <c r="I146" s="1" t="str">
        <f>VLOOKUP(Filtro!F146,Comparacao!$G$7:$J$200,4,FALSE)</f>
        <v/>
      </c>
    </row>
    <row r="147" spans="1:9" x14ac:dyDescent="0.25">
      <c r="A147" s="3" t="str">
        <f t="array" ref="A147">IFERROR(INDEX(Comparacao!$A$7:$A$200,SMALL(IF(Comparacao!$E$7:$E$200=$A$2,ROW(Comparacao!$A$7:$A$200)),ROW(143:143))-6,1),"")</f>
        <v/>
      </c>
      <c r="B147" s="3" t="str">
        <f>IFERROR(VLOOKUP(A147,Lista1[],2,FALSE),"")</f>
        <v/>
      </c>
      <c r="C147" s="1" t="str">
        <f>VLOOKUP(Filtro!A147,Comparacao!$A$7:$D$200,3,FALSE)</f>
        <v/>
      </c>
      <c r="D147" s="1" t="str">
        <f>VLOOKUP(Filtro!A147,Comparacao!$A$7:$D$200,4,FALSE)</f>
        <v/>
      </c>
      <c r="F147" t="str">
        <f t="array" ref="F147">IFERROR(INDEX(Comparacao!$G$7:$G$200,SMALL(IF(Comparacao!$K$7:$K$200=$A$2,ROW(Comparacao!$G$7:$G$200)),ROW(143:143))-6,1),"")</f>
        <v/>
      </c>
      <c r="G147" t="str">
        <f>IFERROR(VLOOKUP(F147,Lista2[],2,FALSE),"")</f>
        <v/>
      </c>
      <c r="H147" s="1" t="str">
        <f>VLOOKUP(Filtro!F147,Comparacao!$G$7:$J$200,3,FALSE)</f>
        <v/>
      </c>
      <c r="I147" s="1" t="str">
        <f>VLOOKUP(Filtro!F147,Comparacao!$G$7:$J$200,4,FALSE)</f>
        <v/>
      </c>
    </row>
    <row r="148" spans="1:9" x14ac:dyDescent="0.25">
      <c r="A148" s="3" t="str">
        <f t="array" ref="A148">IFERROR(INDEX(Comparacao!$A$7:$A$200,SMALL(IF(Comparacao!$E$7:$E$200=$A$2,ROW(Comparacao!$A$7:$A$200)),ROW(144:144))-6,1),"")</f>
        <v/>
      </c>
      <c r="B148" s="3" t="str">
        <f>IFERROR(VLOOKUP(A148,Lista1[],2,FALSE),"")</f>
        <v/>
      </c>
      <c r="C148" s="1" t="str">
        <f>VLOOKUP(Filtro!A148,Comparacao!$A$7:$D$200,3,FALSE)</f>
        <v/>
      </c>
      <c r="D148" s="1" t="str">
        <f>VLOOKUP(Filtro!A148,Comparacao!$A$7:$D$200,4,FALSE)</f>
        <v/>
      </c>
      <c r="F148" t="str">
        <f t="array" ref="F148">IFERROR(INDEX(Comparacao!$G$7:$G$200,SMALL(IF(Comparacao!$K$7:$K$200=$A$2,ROW(Comparacao!$G$7:$G$200)),ROW(144:144))-6,1),"")</f>
        <v/>
      </c>
      <c r="G148" t="str">
        <f>IFERROR(VLOOKUP(F148,Lista2[],2,FALSE),"")</f>
        <v/>
      </c>
      <c r="H148" s="1" t="str">
        <f>VLOOKUP(Filtro!F148,Comparacao!$G$7:$J$200,3,FALSE)</f>
        <v/>
      </c>
      <c r="I148" s="1" t="str">
        <f>VLOOKUP(Filtro!F148,Comparacao!$G$7:$J$200,4,FALSE)</f>
        <v/>
      </c>
    </row>
    <row r="149" spans="1:9" x14ac:dyDescent="0.25">
      <c r="A149" s="3" t="str">
        <f t="array" ref="A149">IFERROR(INDEX(Comparacao!$A$7:$A$200,SMALL(IF(Comparacao!$E$7:$E$200=$A$2,ROW(Comparacao!$A$7:$A$200)),ROW(145:145))-6,1),"")</f>
        <v/>
      </c>
      <c r="B149" s="3" t="str">
        <f>IFERROR(VLOOKUP(A149,Lista1[],2,FALSE),"")</f>
        <v/>
      </c>
      <c r="C149" s="1" t="str">
        <f>VLOOKUP(Filtro!A149,Comparacao!$A$7:$D$200,3,FALSE)</f>
        <v/>
      </c>
      <c r="D149" s="1" t="str">
        <f>VLOOKUP(Filtro!A149,Comparacao!$A$7:$D$200,4,FALSE)</f>
        <v/>
      </c>
      <c r="F149" t="str">
        <f t="array" ref="F149">IFERROR(INDEX(Comparacao!$G$7:$G$200,SMALL(IF(Comparacao!$K$7:$K$200=$A$2,ROW(Comparacao!$G$7:$G$200)),ROW(145:145))-6,1),"")</f>
        <v/>
      </c>
      <c r="G149" t="str">
        <f>IFERROR(VLOOKUP(F149,Lista2[],2,FALSE),"")</f>
        <v/>
      </c>
      <c r="H149" s="1" t="str">
        <f>VLOOKUP(Filtro!F149,Comparacao!$G$7:$J$200,3,FALSE)</f>
        <v/>
      </c>
      <c r="I149" s="1" t="str">
        <f>VLOOKUP(Filtro!F149,Comparacao!$G$7:$J$200,4,FALSE)</f>
        <v/>
      </c>
    </row>
    <row r="150" spans="1:9" x14ac:dyDescent="0.25">
      <c r="A150" s="3" t="str">
        <f t="array" ref="A150">IFERROR(INDEX(Comparacao!$A$7:$A$200,SMALL(IF(Comparacao!$E$7:$E$200=$A$2,ROW(Comparacao!$A$7:$A$200)),ROW(146:146))-6,1),"")</f>
        <v/>
      </c>
      <c r="B150" s="3" t="str">
        <f>IFERROR(VLOOKUP(A150,Lista1[],2,FALSE),"")</f>
        <v/>
      </c>
      <c r="C150" s="1" t="str">
        <f>VLOOKUP(Filtro!A150,Comparacao!$A$7:$D$200,3,FALSE)</f>
        <v/>
      </c>
      <c r="D150" s="1" t="str">
        <f>VLOOKUP(Filtro!A150,Comparacao!$A$7:$D$200,4,FALSE)</f>
        <v/>
      </c>
      <c r="F150" t="str">
        <f t="array" ref="F150">IFERROR(INDEX(Comparacao!$G$7:$G$200,SMALL(IF(Comparacao!$K$7:$K$200=$A$2,ROW(Comparacao!$G$7:$G$200)),ROW(146:146))-6,1),"")</f>
        <v/>
      </c>
      <c r="G150" t="str">
        <f>IFERROR(VLOOKUP(F150,Lista2[],2,FALSE),"")</f>
        <v/>
      </c>
      <c r="H150" s="1" t="str">
        <f>VLOOKUP(Filtro!F150,Comparacao!$G$7:$J$200,3,FALSE)</f>
        <v/>
      </c>
      <c r="I150" s="1" t="str">
        <f>VLOOKUP(Filtro!F150,Comparacao!$G$7:$J$200,4,FALSE)</f>
        <v/>
      </c>
    </row>
    <row r="151" spans="1:9" x14ac:dyDescent="0.25">
      <c r="A151" s="3" t="str">
        <f t="array" ref="A151">IFERROR(INDEX(Comparacao!$A$7:$A$200,SMALL(IF(Comparacao!$E$7:$E$200=$A$2,ROW(Comparacao!$A$7:$A$200)),ROW(147:147))-6,1),"")</f>
        <v/>
      </c>
      <c r="B151" s="3" t="str">
        <f>IFERROR(VLOOKUP(A151,Lista1[],2,FALSE),"")</f>
        <v/>
      </c>
      <c r="C151" s="1" t="str">
        <f>VLOOKUP(Filtro!A151,Comparacao!$A$7:$D$200,3,FALSE)</f>
        <v/>
      </c>
      <c r="D151" s="1" t="str">
        <f>VLOOKUP(Filtro!A151,Comparacao!$A$7:$D$200,4,FALSE)</f>
        <v/>
      </c>
      <c r="F151" t="str">
        <f t="array" ref="F151">IFERROR(INDEX(Comparacao!$G$7:$G$200,SMALL(IF(Comparacao!$K$7:$K$200=$A$2,ROW(Comparacao!$G$7:$G$200)),ROW(147:147))-6,1),"")</f>
        <v/>
      </c>
      <c r="G151" t="str">
        <f>IFERROR(VLOOKUP(F151,Lista2[],2,FALSE),"")</f>
        <v/>
      </c>
      <c r="H151" s="1" t="str">
        <f>VLOOKUP(Filtro!F151,Comparacao!$G$7:$J$200,3,FALSE)</f>
        <v/>
      </c>
      <c r="I151" s="1" t="str">
        <f>VLOOKUP(Filtro!F151,Comparacao!$G$7:$J$200,4,FALSE)</f>
        <v/>
      </c>
    </row>
    <row r="152" spans="1:9" x14ac:dyDescent="0.25">
      <c r="A152" s="3" t="str">
        <f t="array" ref="A152">IFERROR(INDEX(Comparacao!$A$7:$A$200,SMALL(IF(Comparacao!$E$7:$E$200=$A$2,ROW(Comparacao!$A$7:$A$200)),ROW(148:148))-6,1),"")</f>
        <v/>
      </c>
      <c r="B152" s="3" t="str">
        <f>IFERROR(VLOOKUP(A152,Lista1[],2,FALSE),"")</f>
        <v/>
      </c>
      <c r="C152" s="1" t="str">
        <f>VLOOKUP(Filtro!A152,Comparacao!$A$7:$D$200,3,FALSE)</f>
        <v/>
      </c>
      <c r="D152" s="1" t="str">
        <f>VLOOKUP(Filtro!A152,Comparacao!$A$7:$D$200,4,FALSE)</f>
        <v/>
      </c>
      <c r="F152" t="str">
        <f t="array" ref="F152">IFERROR(INDEX(Comparacao!$G$7:$G$200,SMALL(IF(Comparacao!$K$7:$K$200=$A$2,ROW(Comparacao!$G$7:$G$200)),ROW(148:148))-6,1),"")</f>
        <v/>
      </c>
      <c r="G152" t="str">
        <f>IFERROR(VLOOKUP(F152,Lista2[],2,FALSE),"")</f>
        <v/>
      </c>
      <c r="H152" s="1" t="str">
        <f>VLOOKUP(Filtro!F152,Comparacao!$G$7:$J$200,3,FALSE)</f>
        <v/>
      </c>
      <c r="I152" s="1" t="str">
        <f>VLOOKUP(Filtro!F152,Comparacao!$G$7:$J$200,4,FALSE)</f>
        <v/>
      </c>
    </row>
    <row r="153" spans="1:9" x14ac:dyDescent="0.25">
      <c r="A153" s="3" t="str">
        <f t="array" ref="A153">IFERROR(INDEX(Comparacao!$A$7:$A$200,SMALL(IF(Comparacao!$E$7:$E$200=$A$2,ROW(Comparacao!$A$7:$A$200)),ROW(149:149))-6,1),"")</f>
        <v/>
      </c>
      <c r="B153" s="3" t="str">
        <f>IFERROR(VLOOKUP(A153,Lista1[],2,FALSE),"")</f>
        <v/>
      </c>
      <c r="C153" s="1" t="str">
        <f>VLOOKUP(Filtro!A153,Comparacao!$A$7:$D$200,3,FALSE)</f>
        <v/>
      </c>
      <c r="D153" s="1" t="str">
        <f>VLOOKUP(Filtro!A153,Comparacao!$A$7:$D$200,4,FALSE)</f>
        <v/>
      </c>
      <c r="F153" t="str">
        <f t="array" ref="F153">IFERROR(INDEX(Comparacao!$G$7:$G$200,SMALL(IF(Comparacao!$K$7:$K$200=$A$2,ROW(Comparacao!$G$7:$G$200)),ROW(149:149))-6,1),"")</f>
        <v/>
      </c>
      <c r="G153" t="str">
        <f>IFERROR(VLOOKUP(F153,Lista2[],2,FALSE),"")</f>
        <v/>
      </c>
      <c r="H153" s="1" t="str">
        <f>VLOOKUP(Filtro!F153,Comparacao!$G$7:$J$200,3,FALSE)</f>
        <v/>
      </c>
      <c r="I153" s="1" t="str">
        <f>VLOOKUP(Filtro!F153,Comparacao!$G$7:$J$200,4,FALSE)</f>
        <v/>
      </c>
    </row>
    <row r="154" spans="1:9" x14ac:dyDescent="0.25">
      <c r="A154" s="3" t="str">
        <f t="array" ref="A154">IFERROR(INDEX(Comparacao!$A$7:$A$200,SMALL(IF(Comparacao!$E$7:$E$200=$A$2,ROW(Comparacao!$A$7:$A$200)),ROW(150:150))-6,1),"")</f>
        <v/>
      </c>
      <c r="B154" s="3" t="str">
        <f>IFERROR(VLOOKUP(A154,Lista1[],2,FALSE),"")</f>
        <v/>
      </c>
      <c r="C154" s="1" t="str">
        <f>VLOOKUP(Filtro!A154,Comparacao!$A$7:$D$200,3,FALSE)</f>
        <v/>
      </c>
      <c r="D154" s="1" t="str">
        <f>VLOOKUP(Filtro!A154,Comparacao!$A$7:$D$200,4,FALSE)</f>
        <v/>
      </c>
      <c r="F154" t="str">
        <f t="array" ref="F154">IFERROR(INDEX(Comparacao!$G$7:$G$200,SMALL(IF(Comparacao!$K$7:$K$200=$A$2,ROW(Comparacao!$G$7:$G$200)),ROW(150:150))-6,1),"")</f>
        <v/>
      </c>
      <c r="G154" t="str">
        <f>IFERROR(VLOOKUP(F154,Lista2[],2,FALSE),"")</f>
        <v/>
      </c>
      <c r="H154" s="1" t="str">
        <f>VLOOKUP(Filtro!F154,Comparacao!$G$7:$J$200,3,FALSE)</f>
        <v/>
      </c>
      <c r="I154" s="1" t="str">
        <f>VLOOKUP(Filtro!F154,Comparacao!$G$7:$J$200,4,FALSE)</f>
        <v/>
      </c>
    </row>
    <row r="155" spans="1:9" x14ac:dyDescent="0.25">
      <c r="A155" s="3" t="str">
        <f t="array" ref="A155">IFERROR(INDEX(Comparacao!$A$7:$A$200,SMALL(IF(Comparacao!$E$7:$E$200=$A$2,ROW(Comparacao!$A$7:$A$200)),ROW(151:151))-6,1),"")</f>
        <v/>
      </c>
      <c r="B155" s="3" t="str">
        <f>IFERROR(VLOOKUP(A155,Lista1[],2,FALSE),"")</f>
        <v/>
      </c>
      <c r="C155" s="1" t="str">
        <f>VLOOKUP(Filtro!A155,Comparacao!$A$7:$D$200,3,FALSE)</f>
        <v/>
      </c>
      <c r="D155" s="1" t="str">
        <f>VLOOKUP(Filtro!A155,Comparacao!$A$7:$D$200,4,FALSE)</f>
        <v/>
      </c>
      <c r="F155" t="str">
        <f t="array" ref="F155">IFERROR(INDEX(Comparacao!$G$7:$G$200,SMALL(IF(Comparacao!$K$7:$K$200=$A$2,ROW(Comparacao!$G$7:$G$200)),ROW(151:151))-6,1),"")</f>
        <v/>
      </c>
      <c r="G155" t="str">
        <f>IFERROR(VLOOKUP(F155,Lista2[],2,FALSE),"")</f>
        <v/>
      </c>
      <c r="H155" s="1" t="str">
        <f>VLOOKUP(Filtro!F155,Comparacao!$G$7:$J$200,3,FALSE)</f>
        <v/>
      </c>
      <c r="I155" s="1" t="str">
        <f>VLOOKUP(Filtro!F155,Comparacao!$G$7:$J$200,4,FALSE)</f>
        <v/>
      </c>
    </row>
    <row r="156" spans="1:9" x14ac:dyDescent="0.25">
      <c r="A156" s="3" t="str">
        <f t="array" ref="A156">IFERROR(INDEX(Comparacao!$A$7:$A$200,SMALL(IF(Comparacao!$E$7:$E$200=$A$2,ROW(Comparacao!$A$7:$A$200)),ROW(152:152))-6,1),"")</f>
        <v/>
      </c>
      <c r="B156" s="3" t="str">
        <f>IFERROR(VLOOKUP(A156,Lista1[],2,FALSE),"")</f>
        <v/>
      </c>
      <c r="C156" s="1" t="str">
        <f>VLOOKUP(Filtro!A156,Comparacao!$A$7:$D$200,3,FALSE)</f>
        <v/>
      </c>
      <c r="D156" s="1" t="str">
        <f>VLOOKUP(Filtro!A156,Comparacao!$A$7:$D$200,4,FALSE)</f>
        <v/>
      </c>
      <c r="F156" t="str">
        <f t="array" ref="F156">IFERROR(INDEX(Comparacao!$G$7:$G$200,SMALL(IF(Comparacao!$K$7:$K$200=$A$2,ROW(Comparacao!$G$7:$G$200)),ROW(152:152))-6,1),"")</f>
        <v/>
      </c>
      <c r="G156" t="str">
        <f>IFERROR(VLOOKUP(F156,Lista2[],2,FALSE),"")</f>
        <v/>
      </c>
      <c r="H156" s="1" t="str">
        <f>VLOOKUP(Filtro!F156,Comparacao!$G$7:$J$200,3,FALSE)</f>
        <v/>
      </c>
      <c r="I156" s="1" t="str">
        <f>VLOOKUP(Filtro!F156,Comparacao!$G$7:$J$200,4,FALSE)</f>
        <v/>
      </c>
    </row>
    <row r="157" spans="1:9" x14ac:dyDescent="0.25">
      <c r="A157" s="3" t="str">
        <f t="array" ref="A157">IFERROR(INDEX(Comparacao!$A$7:$A$200,SMALL(IF(Comparacao!$E$7:$E$200=$A$2,ROW(Comparacao!$A$7:$A$200)),ROW(153:153))-6,1),"")</f>
        <v/>
      </c>
      <c r="B157" s="3" t="str">
        <f>IFERROR(VLOOKUP(A157,Lista1[],2,FALSE),"")</f>
        <v/>
      </c>
      <c r="C157" s="1" t="str">
        <f>VLOOKUP(Filtro!A157,Comparacao!$A$7:$D$200,3,FALSE)</f>
        <v/>
      </c>
      <c r="D157" s="1" t="str">
        <f>VLOOKUP(Filtro!A157,Comparacao!$A$7:$D$200,4,FALSE)</f>
        <v/>
      </c>
      <c r="F157" t="str">
        <f t="array" ref="F157">IFERROR(INDEX(Comparacao!$G$7:$G$200,SMALL(IF(Comparacao!$K$7:$K$200=$A$2,ROW(Comparacao!$G$7:$G$200)),ROW(153:153))-6,1),"")</f>
        <v/>
      </c>
      <c r="G157" t="str">
        <f>IFERROR(VLOOKUP(F157,Lista2[],2,FALSE),"")</f>
        <v/>
      </c>
      <c r="H157" s="1" t="str">
        <f>VLOOKUP(Filtro!F157,Comparacao!$G$7:$J$200,3,FALSE)</f>
        <v/>
      </c>
      <c r="I157" s="1" t="str">
        <f>VLOOKUP(Filtro!F157,Comparacao!$G$7:$J$200,4,FALSE)</f>
        <v/>
      </c>
    </row>
    <row r="158" spans="1:9" x14ac:dyDescent="0.25">
      <c r="A158" s="3" t="str">
        <f t="array" ref="A158">IFERROR(INDEX(Comparacao!$A$7:$A$200,SMALL(IF(Comparacao!$E$7:$E$200=$A$2,ROW(Comparacao!$A$7:$A$200)),ROW(154:154))-6,1),"")</f>
        <v/>
      </c>
      <c r="B158" s="3" t="str">
        <f>IFERROR(VLOOKUP(A158,Lista1[],2,FALSE),"")</f>
        <v/>
      </c>
      <c r="C158" s="1" t="str">
        <f>VLOOKUP(Filtro!A158,Comparacao!$A$7:$D$200,3,FALSE)</f>
        <v/>
      </c>
      <c r="D158" s="1" t="str">
        <f>VLOOKUP(Filtro!A158,Comparacao!$A$7:$D$200,4,FALSE)</f>
        <v/>
      </c>
      <c r="F158" t="str">
        <f t="array" ref="F158">IFERROR(INDEX(Comparacao!$G$7:$G$200,SMALL(IF(Comparacao!$K$7:$K$200=$A$2,ROW(Comparacao!$G$7:$G$200)),ROW(154:154))-6,1),"")</f>
        <v/>
      </c>
      <c r="G158" t="str">
        <f>IFERROR(VLOOKUP(F158,Lista2[],2,FALSE),"")</f>
        <v/>
      </c>
      <c r="H158" s="1" t="str">
        <f>VLOOKUP(Filtro!F158,Comparacao!$G$7:$J$200,3,FALSE)</f>
        <v/>
      </c>
      <c r="I158" s="1" t="str">
        <f>VLOOKUP(Filtro!F158,Comparacao!$G$7:$J$200,4,FALSE)</f>
        <v/>
      </c>
    </row>
    <row r="159" spans="1:9" x14ac:dyDescent="0.25">
      <c r="A159" s="3" t="str">
        <f t="array" ref="A159">IFERROR(INDEX(Comparacao!$A$7:$A$200,SMALL(IF(Comparacao!$E$7:$E$200=$A$2,ROW(Comparacao!$A$7:$A$200)),ROW(155:155))-6,1),"")</f>
        <v/>
      </c>
      <c r="B159" s="3" t="str">
        <f>IFERROR(VLOOKUP(A159,Lista1[],2,FALSE),"")</f>
        <v/>
      </c>
      <c r="C159" s="1" t="str">
        <f>VLOOKUP(Filtro!A159,Comparacao!$A$7:$D$200,3,FALSE)</f>
        <v/>
      </c>
      <c r="D159" s="1" t="str">
        <f>VLOOKUP(Filtro!A159,Comparacao!$A$7:$D$200,4,FALSE)</f>
        <v/>
      </c>
      <c r="F159" t="str">
        <f t="array" ref="F159">IFERROR(INDEX(Comparacao!$G$7:$G$200,SMALL(IF(Comparacao!$K$7:$K$200=$A$2,ROW(Comparacao!$G$7:$G$200)),ROW(155:155))-6,1),"")</f>
        <v/>
      </c>
      <c r="G159" t="str">
        <f>IFERROR(VLOOKUP(F159,Lista2[],2,FALSE),"")</f>
        <v/>
      </c>
      <c r="H159" s="1" t="str">
        <f>VLOOKUP(Filtro!F159,Comparacao!$G$7:$J$200,3,FALSE)</f>
        <v/>
      </c>
      <c r="I159" s="1" t="str">
        <f>VLOOKUP(Filtro!F159,Comparacao!$G$7:$J$200,4,FALSE)</f>
        <v/>
      </c>
    </row>
    <row r="160" spans="1:9" x14ac:dyDescent="0.25">
      <c r="A160" s="3" t="str">
        <f t="array" ref="A160">IFERROR(INDEX(Comparacao!$A$7:$A$200,SMALL(IF(Comparacao!$E$7:$E$200=$A$2,ROW(Comparacao!$A$7:$A$200)),ROW(156:156))-6,1),"")</f>
        <v/>
      </c>
      <c r="B160" s="3" t="str">
        <f>IFERROR(VLOOKUP(A160,Lista1[],2,FALSE),"")</f>
        <v/>
      </c>
      <c r="C160" s="1" t="str">
        <f>VLOOKUP(Filtro!A160,Comparacao!$A$7:$D$200,3,FALSE)</f>
        <v/>
      </c>
      <c r="D160" s="1" t="str">
        <f>VLOOKUP(Filtro!A160,Comparacao!$A$7:$D$200,4,FALSE)</f>
        <v/>
      </c>
      <c r="F160" t="str">
        <f t="array" ref="F160">IFERROR(INDEX(Comparacao!$G$7:$G$200,SMALL(IF(Comparacao!$K$7:$K$200=$A$2,ROW(Comparacao!$G$7:$G$200)),ROW(156:156))-6,1),"")</f>
        <v/>
      </c>
      <c r="G160" t="str">
        <f>IFERROR(VLOOKUP(F160,Lista2[],2,FALSE),"")</f>
        <v/>
      </c>
      <c r="H160" s="1" t="str">
        <f>VLOOKUP(Filtro!F160,Comparacao!$G$7:$J$200,3,FALSE)</f>
        <v/>
      </c>
      <c r="I160" s="1" t="str">
        <f>VLOOKUP(Filtro!F160,Comparacao!$G$7:$J$200,4,FALSE)</f>
        <v/>
      </c>
    </row>
    <row r="161" spans="1:9" x14ac:dyDescent="0.25">
      <c r="A161" s="3" t="str">
        <f t="array" ref="A161">IFERROR(INDEX(Comparacao!$A$7:$A$200,SMALL(IF(Comparacao!$E$7:$E$200=$A$2,ROW(Comparacao!$A$7:$A$200)),ROW(157:157))-6,1),"")</f>
        <v/>
      </c>
      <c r="B161" s="3" t="str">
        <f>IFERROR(VLOOKUP(A161,Lista1[],2,FALSE),"")</f>
        <v/>
      </c>
      <c r="C161" s="1" t="str">
        <f>VLOOKUP(Filtro!A161,Comparacao!$A$7:$D$200,3,FALSE)</f>
        <v/>
      </c>
      <c r="D161" s="1" t="str">
        <f>VLOOKUP(Filtro!A161,Comparacao!$A$7:$D$200,4,FALSE)</f>
        <v/>
      </c>
      <c r="F161" t="str">
        <f t="array" ref="F161">IFERROR(INDEX(Comparacao!$G$7:$G$200,SMALL(IF(Comparacao!$K$7:$K$200=$A$2,ROW(Comparacao!$G$7:$G$200)),ROW(157:157))-6,1),"")</f>
        <v/>
      </c>
      <c r="G161" t="str">
        <f>IFERROR(VLOOKUP(F161,Lista2[],2,FALSE),"")</f>
        <v/>
      </c>
      <c r="H161" s="1" t="str">
        <f>VLOOKUP(Filtro!F161,Comparacao!$G$7:$J$200,3,FALSE)</f>
        <v/>
      </c>
      <c r="I161" s="1" t="str">
        <f>VLOOKUP(Filtro!F161,Comparacao!$G$7:$J$200,4,FALSE)</f>
        <v/>
      </c>
    </row>
    <row r="162" spans="1:9" x14ac:dyDescent="0.25">
      <c r="A162" s="3" t="str">
        <f t="array" ref="A162">IFERROR(INDEX(Comparacao!$A$7:$A$200,SMALL(IF(Comparacao!$E$7:$E$200=$A$2,ROW(Comparacao!$A$7:$A$200)),ROW(158:158))-6,1),"")</f>
        <v/>
      </c>
      <c r="B162" s="3" t="str">
        <f>IFERROR(VLOOKUP(A162,Lista1[],2,FALSE),"")</f>
        <v/>
      </c>
      <c r="C162" s="1" t="str">
        <f>VLOOKUP(Filtro!A162,Comparacao!$A$7:$D$200,3,FALSE)</f>
        <v/>
      </c>
      <c r="D162" s="1" t="str">
        <f>VLOOKUP(Filtro!A162,Comparacao!$A$7:$D$200,4,FALSE)</f>
        <v/>
      </c>
      <c r="F162" t="str">
        <f t="array" ref="F162">IFERROR(INDEX(Comparacao!$G$7:$G$200,SMALL(IF(Comparacao!$K$7:$K$200=$A$2,ROW(Comparacao!$G$7:$G$200)),ROW(158:158))-6,1),"")</f>
        <v/>
      </c>
      <c r="G162" t="str">
        <f>IFERROR(VLOOKUP(F162,Lista2[],2,FALSE),"")</f>
        <v/>
      </c>
      <c r="H162" s="1" t="str">
        <f>VLOOKUP(Filtro!F162,Comparacao!$G$7:$J$200,3,FALSE)</f>
        <v/>
      </c>
      <c r="I162" s="1" t="str">
        <f>VLOOKUP(Filtro!F162,Comparacao!$G$7:$J$200,4,FALSE)</f>
        <v/>
      </c>
    </row>
    <row r="163" spans="1:9" x14ac:dyDescent="0.25">
      <c r="A163" s="3" t="str">
        <f t="array" ref="A163">IFERROR(INDEX(Comparacao!$A$7:$A$200,SMALL(IF(Comparacao!$E$7:$E$200=$A$2,ROW(Comparacao!$A$7:$A$200)),ROW(159:159))-6,1),"")</f>
        <v/>
      </c>
      <c r="B163" s="3" t="str">
        <f>IFERROR(VLOOKUP(A163,Lista1[],2,FALSE),"")</f>
        <v/>
      </c>
      <c r="C163" s="1" t="str">
        <f>VLOOKUP(Filtro!A163,Comparacao!$A$7:$D$200,3,FALSE)</f>
        <v/>
      </c>
      <c r="D163" s="1" t="str">
        <f>VLOOKUP(Filtro!A163,Comparacao!$A$7:$D$200,4,FALSE)</f>
        <v/>
      </c>
      <c r="F163" t="str">
        <f t="array" ref="F163">IFERROR(INDEX(Comparacao!$G$7:$G$200,SMALL(IF(Comparacao!$K$7:$K$200=$A$2,ROW(Comparacao!$G$7:$G$200)),ROW(159:159))-6,1),"")</f>
        <v/>
      </c>
      <c r="G163" t="str">
        <f>IFERROR(VLOOKUP(F163,Lista2[],2,FALSE),"")</f>
        <v/>
      </c>
      <c r="H163" s="1" t="str">
        <f>VLOOKUP(Filtro!F163,Comparacao!$G$7:$J$200,3,FALSE)</f>
        <v/>
      </c>
      <c r="I163" s="1" t="str">
        <f>VLOOKUP(Filtro!F163,Comparacao!$G$7:$J$200,4,FALSE)</f>
        <v/>
      </c>
    </row>
    <row r="164" spans="1:9" x14ac:dyDescent="0.25">
      <c r="A164" s="3" t="str">
        <f t="array" ref="A164">IFERROR(INDEX(Comparacao!$A$7:$A$200,SMALL(IF(Comparacao!$E$7:$E$200=$A$2,ROW(Comparacao!$A$7:$A$200)),ROW(160:160))-6,1),"")</f>
        <v/>
      </c>
      <c r="B164" s="3" t="str">
        <f>IFERROR(VLOOKUP(A164,Lista1[],2,FALSE),"")</f>
        <v/>
      </c>
      <c r="C164" s="1" t="str">
        <f>VLOOKUP(Filtro!A164,Comparacao!$A$7:$D$200,3,FALSE)</f>
        <v/>
      </c>
      <c r="D164" s="1" t="str">
        <f>VLOOKUP(Filtro!A164,Comparacao!$A$7:$D$200,4,FALSE)</f>
        <v/>
      </c>
      <c r="F164" t="str">
        <f t="array" ref="F164">IFERROR(INDEX(Comparacao!$G$7:$G$200,SMALL(IF(Comparacao!$K$7:$K$200=$A$2,ROW(Comparacao!$G$7:$G$200)),ROW(160:160))-6,1),"")</f>
        <v/>
      </c>
      <c r="G164" t="str">
        <f>IFERROR(VLOOKUP(F164,Lista2[],2,FALSE),"")</f>
        <v/>
      </c>
      <c r="H164" s="1" t="str">
        <f>VLOOKUP(Filtro!F164,Comparacao!$G$7:$J$200,3,FALSE)</f>
        <v/>
      </c>
      <c r="I164" s="1" t="str">
        <f>VLOOKUP(Filtro!F164,Comparacao!$G$7:$J$200,4,FALSE)</f>
        <v/>
      </c>
    </row>
    <row r="165" spans="1:9" x14ac:dyDescent="0.25">
      <c r="A165" s="3" t="str">
        <f t="array" ref="A165">IFERROR(INDEX(Comparacao!$A$7:$A$200,SMALL(IF(Comparacao!$E$7:$E$200=$A$2,ROW(Comparacao!$A$7:$A$200)),ROW(161:161))-6,1),"")</f>
        <v/>
      </c>
      <c r="B165" s="3" t="str">
        <f>IFERROR(VLOOKUP(A165,Lista1[],2,FALSE),"")</f>
        <v/>
      </c>
      <c r="C165" s="1" t="str">
        <f>VLOOKUP(Filtro!A165,Comparacao!$A$7:$D$200,3,FALSE)</f>
        <v/>
      </c>
      <c r="D165" s="1" t="str">
        <f>VLOOKUP(Filtro!A165,Comparacao!$A$7:$D$200,4,FALSE)</f>
        <v/>
      </c>
      <c r="F165" t="str">
        <f t="array" ref="F165">IFERROR(INDEX(Comparacao!$G$7:$G$200,SMALL(IF(Comparacao!$K$7:$K$200=$A$2,ROW(Comparacao!$G$7:$G$200)),ROW(161:161))-6,1),"")</f>
        <v/>
      </c>
      <c r="G165" t="str">
        <f>IFERROR(VLOOKUP(F165,Lista2[],2,FALSE),"")</f>
        <v/>
      </c>
      <c r="H165" s="1" t="str">
        <f>VLOOKUP(Filtro!F165,Comparacao!$G$7:$J$200,3,FALSE)</f>
        <v/>
      </c>
      <c r="I165" s="1" t="str">
        <f>VLOOKUP(Filtro!F165,Comparacao!$G$7:$J$200,4,FALSE)</f>
        <v/>
      </c>
    </row>
    <row r="166" spans="1:9" x14ac:dyDescent="0.25">
      <c r="A166" s="3" t="str">
        <f t="array" ref="A166">IFERROR(INDEX(Comparacao!$A$7:$A$200,SMALL(IF(Comparacao!$E$7:$E$200=$A$2,ROW(Comparacao!$A$7:$A$200)),ROW(162:162))-6,1),"")</f>
        <v/>
      </c>
      <c r="B166" s="3" t="str">
        <f>IFERROR(VLOOKUP(A166,Lista1[],2,FALSE),"")</f>
        <v/>
      </c>
      <c r="C166" s="1" t="str">
        <f>VLOOKUP(Filtro!A166,Comparacao!$A$7:$D$200,3,FALSE)</f>
        <v/>
      </c>
      <c r="D166" s="1" t="str">
        <f>VLOOKUP(Filtro!A166,Comparacao!$A$7:$D$200,4,FALSE)</f>
        <v/>
      </c>
      <c r="F166" t="str">
        <f t="array" ref="F166">IFERROR(INDEX(Comparacao!$G$7:$G$200,SMALL(IF(Comparacao!$K$7:$K$200=$A$2,ROW(Comparacao!$G$7:$G$200)),ROW(162:162))-6,1),"")</f>
        <v/>
      </c>
      <c r="G166" t="str">
        <f>IFERROR(VLOOKUP(F166,Lista2[],2,FALSE),"")</f>
        <v/>
      </c>
      <c r="H166" s="1" t="str">
        <f>VLOOKUP(Filtro!F166,Comparacao!$G$7:$J$200,3,FALSE)</f>
        <v/>
      </c>
      <c r="I166" s="1" t="str">
        <f>VLOOKUP(Filtro!F166,Comparacao!$G$7:$J$200,4,FALSE)</f>
        <v/>
      </c>
    </row>
    <row r="167" spans="1:9" x14ac:dyDescent="0.25">
      <c r="A167" s="3" t="str">
        <f t="array" ref="A167">IFERROR(INDEX(Comparacao!$A$7:$A$200,SMALL(IF(Comparacao!$E$7:$E$200=$A$2,ROW(Comparacao!$A$7:$A$200)),ROW(163:163))-6,1),"")</f>
        <v/>
      </c>
      <c r="B167" s="3" t="str">
        <f>IFERROR(VLOOKUP(A167,Lista1[],2,FALSE),"")</f>
        <v/>
      </c>
      <c r="C167" s="1" t="str">
        <f>VLOOKUP(Filtro!A167,Comparacao!$A$7:$D$200,3,FALSE)</f>
        <v/>
      </c>
      <c r="D167" s="1" t="str">
        <f>VLOOKUP(Filtro!A167,Comparacao!$A$7:$D$200,4,FALSE)</f>
        <v/>
      </c>
      <c r="F167" t="str">
        <f t="array" ref="F167">IFERROR(INDEX(Comparacao!$G$7:$G$200,SMALL(IF(Comparacao!$K$7:$K$200=$A$2,ROW(Comparacao!$G$7:$G$200)),ROW(163:163))-6,1),"")</f>
        <v/>
      </c>
      <c r="G167" t="str">
        <f>IFERROR(VLOOKUP(F167,Lista2[],2,FALSE),"")</f>
        <v/>
      </c>
      <c r="H167" s="1" t="str">
        <f>VLOOKUP(Filtro!F167,Comparacao!$G$7:$J$200,3,FALSE)</f>
        <v/>
      </c>
      <c r="I167" s="1" t="str">
        <f>VLOOKUP(Filtro!F167,Comparacao!$G$7:$J$200,4,FALSE)</f>
        <v/>
      </c>
    </row>
    <row r="168" spans="1:9" x14ac:dyDescent="0.25">
      <c r="A168" s="3" t="str">
        <f t="array" ref="A168">IFERROR(INDEX(Comparacao!$A$7:$A$200,SMALL(IF(Comparacao!$E$7:$E$200=$A$2,ROW(Comparacao!$A$7:$A$200)),ROW(164:164))-6,1),"")</f>
        <v/>
      </c>
      <c r="B168" s="3" t="str">
        <f>IFERROR(VLOOKUP(A168,Lista1[],2,FALSE),"")</f>
        <v/>
      </c>
      <c r="C168" s="1" t="str">
        <f>VLOOKUP(Filtro!A168,Comparacao!$A$7:$D$200,3,FALSE)</f>
        <v/>
      </c>
      <c r="D168" s="1" t="str">
        <f>VLOOKUP(Filtro!A168,Comparacao!$A$7:$D$200,4,FALSE)</f>
        <v/>
      </c>
      <c r="F168" t="str">
        <f t="array" ref="F168">IFERROR(INDEX(Comparacao!$G$7:$G$200,SMALL(IF(Comparacao!$K$7:$K$200=$A$2,ROW(Comparacao!$G$7:$G$200)),ROW(164:164))-6,1),"")</f>
        <v/>
      </c>
      <c r="G168" t="str">
        <f>IFERROR(VLOOKUP(F168,Lista2[],2,FALSE),"")</f>
        <v/>
      </c>
      <c r="H168" s="1" t="str">
        <f>VLOOKUP(Filtro!F168,Comparacao!$G$7:$J$200,3,FALSE)</f>
        <v/>
      </c>
      <c r="I168" s="1" t="str">
        <f>VLOOKUP(Filtro!F168,Comparacao!$G$7:$J$200,4,FALSE)</f>
        <v/>
      </c>
    </row>
    <row r="169" spans="1:9" x14ac:dyDescent="0.25">
      <c r="A169" s="3" t="str">
        <f t="array" ref="A169">IFERROR(INDEX(Comparacao!$A$7:$A$200,SMALL(IF(Comparacao!$E$7:$E$200=$A$2,ROW(Comparacao!$A$7:$A$200)),ROW(165:165))-6,1),"")</f>
        <v/>
      </c>
      <c r="B169" s="3" t="str">
        <f>IFERROR(VLOOKUP(A169,Lista1[],2,FALSE),"")</f>
        <v/>
      </c>
      <c r="C169" s="1" t="str">
        <f>VLOOKUP(Filtro!A169,Comparacao!$A$7:$D$200,3,FALSE)</f>
        <v/>
      </c>
      <c r="D169" s="1" t="str">
        <f>VLOOKUP(Filtro!A169,Comparacao!$A$7:$D$200,4,FALSE)</f>
        <v/>
      </c>
      <c r="F169" t="str">
        <f t="array" ref="F169">IFERROR(INDEX(Comparacao!$G$7:$G$200,SMALL(IF(Comparacao!$K$7:$K$200=$A$2,ROW(Comparacao!$G$7:$G$200)),ROW(165:165))-6,1),"")</f>
        <v/>
      </c>
      <c r="G169" t="str">
        <f>IFERROR(VLOOKUP(F169,Lista2[],2,FALSE),"")</f>
        <v/>
      </c>
      <c r="H169" s="1" t="str">
        <f>VLOOKUP(Filtro!F169,Comparacao!$G$7:$J$200,3,FALSE)</f>
        <v/>
      </c>
      <c r="I169" s="1" t="str">
        <f>VLOOKUP(Filtro!F169,Comparacao!$G$7:$J$200,4,FALSE)</f>
        <v/>
      </c>
    </row>
    <row r="170" spans="1:9" x14ac:dyDescent="0.25">
      <c r="A170" s="3" t="str">
        <f t="array" ref="A170">IFERROR(INDEX(Comparacao!$A$7:$A$200,SMALL(IF(Comparacao!$E$7:$E$200=$A$2,ROW(Comparacao!$A$7:$A$200)),ROW(166:166))-6,1),"")</f>
        <v/>
      </c>
      <c r="B170" s="3" t="str">
        <f>IFERROR(VLOOKUP(A170,Lista1[],2,FALSE),"")</f>
        <v/>
      </c>
      <c r="C170" s="1" t="str">
        <f>VLOOKUP(Filtro!A170,Comparacao!$A$7:$D$200,3,FALSE)</f>
        <v/>
      </c>
      <c r="D170" s="1" t="str">
        <f>VLOOKUP(Filtro!A170,Comparacao!$A$7:$D$200,4,FALSE)</f>
        <v/>
      </c>
      <c r="F170" t="str">
        <f t="array" ref="F170">IFERROR(INDEX(Comparacao!$G$7:$G$200,SMALL(IF(Comparacao!$K$7:$K$200=$A$2,ROW(Comparacao!$G$7:$G$200)),ROW(166:166))-6,1),"")</f>
        <v/>
      </c>
      <c r="G170" t="str">
        <f>IFERROR(VLOOKUP(F170,Lista2[],2,FALSE),"")</f>
        <v/>
      </c>
      <c r="H170" s="1" t="str">
        <f>VLOOKUP(Filtro!F170,Comparacao!$G$7:$J$200,3,FALSE)</f>
        <v/>
      </c>
      <c r="I170" s="1" t="str">
        <f>VLOOKUP(Filtro!F170,Comparacao!$G$7:$J$200,4,FALSE)</f>
        <v/>
      </c>
    </row>
    <row r="171" spans="1:9" x14ac:dyDescent="0.25">
      <c r="A171" s="3" t="str">
        <f t="array" ref="A171">IFERROR(INDEX(Comparacao!$A$7:$A$200,SMALL(IF(Comparacao!$E$7:$E$200=$A$2,ROW(Comparacao!$A$7:$A$200)),ROW(167:167))-6,1),"")</f>
        <v/>
      </c>
      <c r="B171" s="3" t="str">
        <f>IFERROR(VLOOKUP(A171,Lista1[],2,FALSE),"")</f>
        <v/>
      </c>
      <c r="C171" s="1" t="str">
        <f>VLOOKUP(Filtro!A171,Comparacao!$A$7:$D$200,3,FALSE)</f>
        <v/>
      </c>
      <c r="D171" s="1" t="str">
        <f>VLOOKUP(Filtro!A171,Comparacao!$A$7:$D$200,4,FALSE)</f>
        <v/>
      </c>
      <c r="F171" t="str">
        <f t="array" ref="F171">IFERROR(INDEX(Comparacao!$G$7:$G$200,SMALL(IF(Comparacao!$K$7:$K$200=$A$2,ROW(Comparacao!$G$7:$G$200)),ROW(167:167))-6,1),"")</f>
        <v/>
      </c>
      <c r="G171" t="str">
        <f>IFERROR(VLOOKUP(F171,Lista2[],2,FALSE),"")</f>
        <v/>
      </c>
      <c r="H171" s="1" t="str">
        <f>VLOOKUP(Filtro!F171,Comparacao!$G$7:$J$200,3,FALSE)</f>
        <v/>
      </c>
      <c r="I171" s="1" t="str">
        <f>VLOOKUP(Filtro!F171,Comparacao!$G$7:$J$200,4,FALSE)</f>
        <v/>
      </c>
    </row>
    <row r="172" spans="1:9" x14ac:dyDescent="0.25">
      <c r="A172" s="3" t="str">
        <f t="array" ref="A172">IFERROR(INDEX(Comparacao!$A$7:$A$200,SMALL(IF(Comparacao!$E$7:$E$200=$A$2,ROW(Comparacao!$A$7:$A$200)),ROW(168:168))-6,1),"")</f>
        <v/>
      </c>
      <c r="B172" s="3" t="str">
        <f>IFERROR(VLOOKUP(A172,Lista1[],2,FALSE),"")</f>
        <v/>
      </c>
      <c r="C172" s="1" t="str">
        <f>VLOOKUP(Filtro!A172,Comparacao!$A$7:$D$200,3,FALSE)</f>
        <v/>
      </c>
      <c r="D172" s="1" t="str">
        <f>VLOOKUP(Filtro!A172,Comparacao!$A$7:$D$200,4,FALSE)</f>
        <v/>
      </c>
      <c r="F172" t="str">
        <f t="array" ref="F172">IFERROR(INDEX(Comparacao!$G$7:$G$200,SMALL(IF(Comparacao!$K$7:$K$200=$A$2,ROW(Comparacao!$G$7:$G$200)),ROW(168:168))-6,1),"")</f>
        <v/>
      </c>
      <c r="G172" t="str">
        <f>IFERROR(VLOOKUP(F172,Lista2[],2,FALSE),"")</f>
        <v/>
      </c>
      <c r="H172" s="1" t="str">
        <f>VLOOKUP(Filtro!F172,Comparacao!$G$7:$J$200,3,FALSE)</f>
        <v/>
      </c>
      <c r="I172" s="1" t="str">
        <f>VLOOKUP(Filtro!F172,Comparacao!$G$7:$J$200,4,FALSE)</f>
        <v/>
      </c>
    </row>
    <row r="173" spans="1:9" x14ac:dyDescent="0.25">
      <c r="A173" s="3" t="str">
        <f t="array" ref="A173">IFERROR(INDEX(Comparacao!$A$7:$A$200,SMALL(IF(Comparacao!$E$7:$E$200=$A$2,ROW(Comparacao!$A$7:$A$200)),ROW(169:169))-6,1),"")</f>
        <v/>
      </c>
      <c r="B173" s="3" t="str">
        <f>IFERROR(VLOOKUP(A173,Lista1[],2,FALSE),"")</f>
        <v/>
      </c>
      <c r="C173" s="1" t="str">
        <f>VLOOKUP(Filtro!A173,Comparacao!$A$7:$D$200,3,FALSE)</f>
        <v/>
      </c>
      <c r="D173" s="1" t="str">
        <f>VLOOKUP(Filtro!A173,Comparacao!$A$7:$D$200,4,FALSE)</f>
        <v/>
      </c>
      <c r="F173" t="str">
        <f t="array" ref="F173">IFERROR(INDEX(Comparacao!$G$7:$G$200,SMALL(IF(Comparacao!$K$7:$K$200=$A$2,ROW(Comparacao!$G$7:$G$200)),ROW(169:169))-6,1),"")</f>
        <v/>
      </c>
      <c r="G173" t="str">
        <f>IFERROR(VLOOKUP(F173,Lista2[],2,FALSE),"")</f>
        <v/>
      </c>
      <c r="H173" s="1" t="str">
        <f>VLOOKUP(Filtro!F173,Comparacao!$G$7:$J$200,3,FALSE)</f>
        <v/>
      </c>
      <c r="I173" s="1" t="str">
        <f>VLOOKUP(Filtro!F173,Comparacao!$G$7:$J$200,4,FALSE)</f>
        <v/>
      </c>
    </row>
    <row r="174" spans="1:9" x14ac:dyDescent="0.25">
      <c r="A174" s="3" t="str">
        <f t="array" ref="A174">IFERROR(INDEX(Comparacao!$A$7:$A$200,SMALL(IF(Comparacao!$E$7:$E$200=$A$2,ROW(Comparacao!$A$7:$A$200)),ROW(170:170))-6,1),"")</f>
        <v/>
      </c>
      <c r="B174" s="3" t="str">
        <f>IFERROR(VLOOKUP(A174,Lista1[],2,FALSE),"")</f>
        <v/>
      </c>
      <c r="C174" s="1" t="str">
        <f>VLOOKUP(Filtro!A174,Comparacao!$A$7:$D$200,3,FALSE)</f>
        <v/>
      </c>
      <c r="D174" s="1" t="str">
        <f>VLOOKUP(Filtro!A174,Comparacao!$A$7:$D$200,4,FALSE)</f>
        <v/>
      </c>
      <c r="F174" t="str">
        <f t="array" ref="F174">IFERROR(INDEX(Comparacao!$G$7:$G$200,SMALL(IF(Comparacao!$K$7:$K$200=$A$2,ROW(Comparacao!$G$7:$G$200)),ROW(170:170))-6,1),"")</f>
        <v/>
      </c>
      <c r="G174" t="str">
        <f>IFERROR(VLOOKUP(F174,Lista2[],2,FALSE),"")</f>
        <v/>
      </c>
      <c r="H174" s="1" t="str">
        <f>VLOOKUP(Filtro!F174,Comparacao!$G$7:$J$200,3,FALSE)</f>
        <v/>
      </c>
      <c r="I174" s="1" t="str">
        <f>VLOOKUP(Filtro!F174,Comparacao!$G$7:$J$200,4,FALSE)</f>
        <v/>
      </c>
    </row>
    <row r="175" spans="1:9" x14ac:dyDescent="0.25">
      <c r="A175" s="3" t="str">
        <f t="array" ref="A175">IFERROR(INDEX(Comparacao!$A$7:$A$200,SMALL(IF(Comparacao!$E$7:$E$200=$A$2,ROW(Comparacao!$A$7:$A$200)),ROW(171:171))-6,1),"")</f>
        <v/>
      </c>
      <c r="B175" s="3" t="str">
        <f>IFERROR(VLOOKUP(A175,Lista1[],2,FALSE),"")</f>
        <v/>
      </c>
      <c r="C175" s="1" t="str">
        <f>VLOOKUP(Filtro!A175,Comparacao!$A$7:$D$200,3,FALSE)</f>
        <v/>
      </c>
      <c r="D175" s="1" t="str">
        <f>VLOOKUP(Filtro!A175,Comparacao!$A$7:$D$200,4,FALSE)</f>
        <v/>
      </c>
      <c r="F175" t="str">
        <f t="array" ref="F175">IFERROR(INDEX(Comparacao!$G$7:$G$200,SMALL(IF(Comparacao!$K$7:$K$200=$A$2,ROW(Comparacao!$G$7:$G$200)),ROW(171:171))-6,1),"")</f>
        <v/>
      </c>
      <c r="G175" t="str">
        <f>IFERROR(VLOOKUP(F175,Lista2[],2,FALSE),"")</f>
        <v/>
      </c>
      <c r="H175" s="1" t="str">
        <f>VLOOKUP(Filtro!F175,Comparacao!$G$7:$J$200,3,FALSE)</f>
        <v/>
      </c>
      <c r="I175" s="1" t="str">
        <f>VLOOKUP(Filtro!F175,Comparacao!$G$7:$J$200,4,FALSE)</f>
        <v/>
      </c>
    </row>
    <row r="176" spans="1:9" x14ac:dyDescent="0.25">
      <c r="A176" s="3" t="str">
        <f t="array" ref="A176">IFERROR(INDEX(Comparacao!$A$7:$A$200,SMALL(IF(Comparacao!$E$7:$E$200=$A$2,ROW(Comparacao!$A$7:$A$200)),ROW(172:172))-6,1),"")</f>
        <v/>
      </c>
      <c r="B176" s="3" t="str">
        <f>IFERROR(VLOOKUP(A176,Lista1[],2,FALSE),"")</f>
        <v/>
      </c>
      <c r="C176" s="1" t="str">
        <f>VLOOKUP(Filtro!A176,Comparacao!$A$7:$D$200,3,FALSE)</f>
        <v/>
      </c>
      <c r="D176" s="1" t="str">
        <f>VLOOKUP(Filtro!A176,Comparacao!$A$7:$D$200,4,FALSE)</f>
        <v/>
      </c>
      <c r="F176" t="str">
        <f t="array" ref="F176">IFERROR(INDEX(Comparacao!$G$7:$G$200,SMALL(IF(Comparacao!$K$7:$K$200=$A$2,ROW(Comparacao!$G$7:$G$200)),ROW(172:172))-6,1),"")</f>
        <v/>
      </c>
      <c r="G176" t="str">
        <f>IFERROR(VLOOKUP(F176,Lista2[],2,FALSE),"")</f>
        <v/>
      </c>
      <c r="H176" s="1" t="str">
        <f>VLOOKUP(Filtro!F176,Comparacao!$G$7:$J$200,3,FALSE)</f>
        <v/>
      </c>
      <c r="I176" s="1" t="str">
        <f>VLOOKUP(Filtro!F176,Comparacao!$G$7:$J$200,4,FALSE)</f>
        <v/>
      </c>
    </row>
    <row r="177" spans="1:9" x14ac:dyDescent="0.25">
      <c r="A177" s="3" t="str">
        <f t="array" ref="A177">IFERROR(INDEX(Comparacao!$A$7:$A$200,SMALL(IF(Comparacao!$E$7:$E$200=$A$2,ROW(Comparacao!$A$7:$A$200)),ROW(173:173))-6,1),"")</f>
        <v/>
      </c>
      <c r="B177" s="3" t="str">
        <f>IFERROR(VLOOKUP(A177,Lista1[],2,FALSE),"")</f>
        <v/>
      </c>
      <c r="C177" s="1" t="str">
        <f>VLOOKUP(Filtro!A177,Comparacao!$A$7:$D$200,3,FALSE)</f>
        <v/>
      </c>
      <c r="D177" s="1" t="str">
        <f>VLOOKUP(Filtro!A177,Comparacao!$A$7:$D$200,4,FALSE)</f>
        <v/>
      </c>
      <c r="F177" t="str">
        <f t="array" ref="F177">IFERROR(INDEX(Comparacao!$G$7:$G$200,SMALL(IF(Comparacao!$K$7:$K$200=$A$2,ROW(Comparacao!$G$7:$G$200)),ROW(173:173))-6,1),"")</f>
        <v/>
      </c>
      <c r="G177" t="str">
        <f>IFERROR(VLOOKUP(F177,Lista2[],2,FALSE),"")</f>
        <v/>
      </c>
      <c r="H177" s="1" t="str">
        <f>VLOOKUP(Filtro!F177,Comparacao!$G$7:$J$200,3,FALSE)</f>
        <v/>
      </c>
      <c r="I177" s="1" t="str">
        <f>VLOOKUP(Filtro!F177,Comparacao!$G$7:$J$200,4,FALSE)</f>
        <v/>
      </c>
    </row>
    <row r="178" spans="1:9" x14ac:dyDescent="0.25">
      <c r="A178" s="3" t="str">
        <f t="array" ref="A178">IFERROR(INDEX(Comparacao!$A$7:$A$200,SMALL(IF(Comparacao!$E$7:$E$200=$A$2,ROW(Comparacao!$A$7:$A$200)),ROW(174:174))-6,1),"")</f>
        <v/>
      </c>
      <c r="B178" s="3" t="str">
        <f>IFERROR(VLOOKUP(A178,Lista1[],2,FALSE),"")</f>
        <v/>
      </c>
      <c r="C178" s="1" t="str">
        <f>VLOOKUP(Filtro!A178,Comparacao!$A$7:$D$200,3,FALSE)</f>
        <v/>
      </c>
      <c r="D178" s="1" t="str">
        <f>VLOOKUP(Filtro!A178,Comparacao!$A$7:$D$200,4,FALSE)</f>
        <v/>
      </c>
      <c r="F178" t="str">
        <f t="array" ref="F178">IFERROR(INDEX(Comparacao!$G$7:$G$200,SMALL(IF(Comparacao!$K$7:$K$200=$A$2,ROW(Comparacao!$G$7:$G$200)),ROW(174:174))-6,1),"")</f>
        <v/>
      </c>
      <c r="G178" t="str">
        <f>IFERROR(VLOOKUP(F178,Lista2[],2,FALSE),"")</f>
        <v/>
      </c>
      <c r="H178" s="1" t="str">
        <f>VLOOKUP(Filtro!F178,Comparacao!$G$7:$J$200,3,FALSE)</f>
        <v/>
      </c>
      <c r="I178" s="1" t="str">
        <f>VLOOKUP(Filtro!F178,Comparacao!$G$7:$J$200,4,FALSE)</f>
        <v/>
      </c>
    </row>
    <row r="179" spans="1:9" x14ac:dyDescent="0.25">
      <c r="A179" s="3" t="str">
        <f t="array" ref="A179">IFERROR(INDEX(Comparacao!$A$7:$A$200,SMALL(IF(Comparacao!$E$7:$E$200=$A$2,ROW(Comparacao!$A$7:$A$200)),ROW(175:175))-6,1),"")</f>
        <v/>
      </c>
      <c r="B179" s="3" t="str">
        <f>IFERROR(VLOOKUP(A179,Lista1[],2,FALSE),"")</f>
        <v/>
      </c>
      <c r="C179" s="1" t="str">
        <f>VLOOKUP(Filtro!A179,Comparacao!$A$7:$D$200,3,FALSE)</f>
        <v/>
      </c>
      <c r="D179" s="1" t="str">
        <f>VLOOKUP(Filtro!A179,Comparacao!$A$7:$D$200,4,FALSE)</f>
        <v/>
      </c>
      <c r="F179" t="str">
        <f t="array" ref="F179">IFERROR(INDEX(Comparacao!$G$7:$G$200,SMALL(IF(Comparacao!$K$7:$K$200=$A$2,ROW(Comparacao!$G$7:$G$200)),ROW(175:175))-6,1),"")</f>
        <v/>
      </c>
      <c r="G179" t="str">
        <f>IFERROR(VLOOKUP(F179,Lista2[],2,FALSE),"")</f>
        <v/>
      </c>
      <c r="H179" s="1" t="str">
        <f>VLOOKUP(Filtro!F179,Comparacao!$G$7:$J$200,3,FALSE)</f>
        <v/>
      </c>
      <c r="I179" s="1" t="str">
        <f>VLOOKUP(Filtro!F179,Comparacao!$G$7:$J$200,4,FALSE)</f>
        <v/>
      </c>
    </row>
    <row r="180" spans="1:9" x14ac:dyDescent="0.25">
      <c r="A180" s="3" t="str">
        <f t="array" ref="A180">IFERROR(INDEX(Comparacao!$A$7:$A$200,SMALL(IF(Comparacao!$E$7:$E$200=$A$2,ROW(Comparacao!$A$7:$A$200)),ROW(176:176))-6,1),"")</f>
        <v/>
      </c>
      <c r="B180" s="3" t="str">
        <f>IFERROR(VLOOKUP(A180,Lista1[],2,FALSE),"")</f>
        <v/>
      </c>
      <c r="C180" s="1" t="str">
        <f>VLOOKUP(Filtro!A180,Comparacao!$A$7:$D$200,3,FALSE)</f>
        <v/>
      </c>
      <c r="D180" s="1" t="str">
        <f>VLOOKUP(Filtro!A180,Comparacao!$A$7:$D$200,4,FALSE)</f>
        <v/>
      </c>
      <c r="F180" t="str">
        <f t="array" ref="F180">IFERROR(INDEX(Comparacao!$G$7:$G$200,SMALL(IF(Comparacao!$K$7:$K$200=$A$2,ROW(Comparacao!$G$7:$G$200)),ROW(176:176))-6,1),"")</f>
        <v/>
      </c>
      <c r="G180" t="str">
        <f>IFERROR(VLOOKUP(F180,Lista2[],2,FALSE),"")</f>
        <v/>
      </c>
      <c r="H180" s="1" t="str">
        <f>VLOOKUP(Filtro!F180,Comparacao!$G$7:$J$200,3,FALSE)</f>
        <v/>
      </c>
      <c r="I180" s="1" t="str">
        <f>VLOOKUP(Filtro!F180,Comparacao!$G$7:$J$200,4,FALSE)</f>
        <v/>
      </c>
    </row>
    <row r="181" spans="1:9" x14ac:dyDescent="0.25">
      <c r="A181" s="3" t="str">
        <f t="array" ref="A181">IFERROR(INDEX(Comparacao!$A$7:$A$200,SMALL(IF(Comparacao!$E$7:$E$200=$A$2,ROW(Comparacao!$A$7:$A$200)),ROW(177:177))-6,1),"")</f>
        <v/>
      </c>
      <c r="B181" s="3" t="str">
        <f>IFERROR(VLOOKUP(A181,Lista1[],2,FALSE),"")</f>
        <v/>
      </c>
      <c r="C181" s="1" t="str">
        <f>VLOOKUP(Filtro!A181,Comparacao!$A$7:$D$200,3,FALSE)</f>
        <v/>
      </c>
      <c r="D181" s="1" t="str">
        <f>VLOOKUP(Filtro!A181,Comparacao!$A$7:$D$200,4,FALSE)</f>
        <v/>
      </c>
      <c r="F181" t="str">
        <f t="array" ref="F181">IFERROR(INDEX(Comparacao!$G$7:$G$200,SMALL(IF(Comparacao!$K$7:$K$200=$A$2,ROW(Comparacao!$G$7:$G$200)),ROW(177:177))-6,1),"")</f>
        <v/>
      </c>
      <c r="G181" t="str">
        <f>IFERROR(VLOOKUP(F181,Lista2[],2,FALSE),"")</f>
        <v/>
      </c>
      <c r="H181" s="1" t="str">
        <f>VLOOKUP(Filtro!F181,Comparacao!$G$7:$J$200,3,FALSE)</f>
        <v/>
      </c>
      <c r="I181" s="1" t="str">
        <f>VLOOKUP(Filtro!F181,Comparacao!$G$7:$J$200,4,FALSE)</f>
        <v/>
      </c>
    </row>
    <row r="182" spans="1:9" x14ac:dyDescent="0.25">
      <c r="A182" s="3" t="str">
        <f t="array" ref="A182">IFERROR(INDEX(Comparacao!$A$7:$A$200,SMALL(IF(Comparacao!$E$7:$E$200=$A$2,ROW(Comparacao!$A$7:$A$200)),ROW(178:178))-6,1),"")</f>
        <v/>
      </c>
      <c r="B182" s="3" t="str">
        <f>IFERROR(VLOOKUP(A182,Lista1[],2,FALSE),"")</f>
        <v/>
      </c>
      <c r="C182" s="1" t="str">
        <f>VLOOKUP(Filtro!A182,Comparacao!$A$7:$D$200,3,FALSE)</f>
        <v/>
      </c>
      <c r="D182" s="1" t="str">
        <f>VLOOKUP(Filtro!A182,Comparacao!$A$7:$D$200,4,FALSE)</f>
        <v/>
      </c>
      <c r="F182" t="str">
        <f t="array" ref="F182">IFERROR(INDEX(Comparacao!$G$7:$G$200,SMALL(IF(Comparacao!$K$7:$K$200=$A$2,ROW(Comparacao!$G$7:$G$200)),ROW(178:178))-6,1),"")</f>
        <v/>
      </c>
      <c r="G182" t="str">
        <f>IFERROR(VLOOKUP(F182,Lista2[],2,FALSE),"")</f>
        <v/>
      </c>
      <c r="H182" s="1" t="str">
        <f>VLOOKUP(Filtro!F182,Comparacao!$G$7:$J$200,3,FALSE)</f>
        <v/>
      </c>
      <c r="I182" s="1" t="str">
        <f>VLOOKUP(Filtro!F182,Comparacao!$G$7:$J$200,4,FALSE)</f>
        <v/>
      </c>
    </row>
    <row r="183" spans="1:9" x14ac:dyDescent="0.25">
      <c r="A183" s="3" t="str">
        <f t="array" ref="A183">IFERROR(INDEX(Comparacao!$A$7:$A$200,SMALL(IF(Comparacao!$E$7:$E$200=$A$2,ROW(Comparacao!$A$7:$A$200)),ROW(179:179))-6,1),"")</f>
        <v/>
      </c>
      <c r="B183" s="3" t="str">
        <f>IFERROR(VLOOKUP(A183,Lista1[],2,FALSE),"")</f>
        <v/>
      </c>
      <c r="C183" s="1" t="str">
        <f>VLOOKUP(Filtro!A183,Comparacao!$A$7:$D$200,3,FALSE)</f>
        <v/>
      </c>
      <c r="D183" s="1" t="str">
        <f>VLOOKUP(Filtro!A183,Comparacao!$A$7:$D$200,4,FALSE)</f>
        <v/>
      </c>
      <c r="F183" t="str">
        <f t="array" ref="F183">IFERROR(INDEX(Comparacao!$G$7:$G$200,SMALL(IF(Comparacao!$K$7:$K$200=$A$2,ROW(Comparacao!$G$7:$G$200)),ROW(179:179))-6,1),"")</f>
        <v/>
      </c>
      <c r="G183" t="str">
        <f>IFERROR(VLOOKUP(F183,Lista2[],2,FALSE),"")</f>
        <v/>
      </c>
      <c r="H183" s="1" t="str">
        <f>VLOOKUP(Filtro!F183,Comparacao!$G$7:$J$200,3,FALSE)</f>
        <v/>
      </c>
      <c r="I183" s="1" t="str">
        <f>VLOOKUP(Filtro!F183,Comparacao!$G$7:$J$200,4,FALSE)</f>
        <v/>
      </c>
    </row>
    <row r="184" spans="1:9" x14ac:dyDescent="0.25">
      <c r="A184" s="3" t="str">
        <f t="array" ref="A184">IFERROR(INDEX(Comparacao!$A$7:$A$200,SMALL(IF(Comparacao!$E$7:$E$200=$A$2,ROW(Comparacao!$A$7:$A$200)),ROW(180:180))-6,1),"")</f>
        <v/>
      </c>
      <c r="B184" s="3" t="str">
        <f>IFERROR(VLOOKUP(A184,Lista1[],2,FALSE),"")</f>
        <v/>
      </c>
      <c r="C184" s="1" t="str">
        <f>VLOOKUP(Filtro!A184,Comparacao!$A$7:$D$200,3,FALSE)</f>
        <v/>
      </c>
      <c r="D184" s="1" t="str">
        <f>VLOOKUP(Filtro!A184,Comparacao!$A$7:$D$200,4,FALSE)</f>
        <v/>
      </c>
      <c r="F184" t="str">
        <f t="array" ref="F184">IFERROR(INDEX(Comparacao!$G$7:$G$200,SMALL(IF(Comparacao!$K$7:$K$200=$A$2,ROW(Comparacao!$G$7:$G$200)),ROW(180:180))-6,1),"")</f>
        <v/>
      </c>
      <c r="G184" t="str">
        <f>IFERROR(VLOOKUP(F184,Lista2[],2,FALSE),"")</f>
        <v/>
      </c>
      <c r="H184" s="1" t="str">
        <f>VLOOKUP(Filtro!F184,Comparacao!$G$7:$J$200,3,FALSE)</f>
        <v/>
      </c>
      <c r="I184" s="1" t="str">
        <f>VLOOKUP(Filtro!F184,Comparacao!$G$7:$J$200,4,FALSE)</f>
        <v/>
      </c>
    </row>
    <row r="185" spans="1:9" x14ac:dyDescent="0.25">
      <c r="A185" s="3" t="str">
        <f t="array" ref="A185">IFERROR(INDEX(Comparacao!$A$7:$A$200,SMALL(IF(Comparacao!$E$7:$E$200=$A$2,ROW(Comparacao!$A$7:$A$200)),ROW(181:181))-6,1),"")</f>
        <v/>
      </c>
      <c r="B185" s="3" t="str">
        <f>IFERROR(VLOOKUP(A185,Lista1[],2,FALSE),"")</f>
        <v/>
      </c>
      <c r="C185" s="1" t="str">
        <f>VLOOKUP(Filtro!A185,Comparacao!$A$7:$D$200,3,FALSE)</f>
        <v/>
      </c>
      <c r="D185" s="1" t="str">
        <f>VLOOKUP(Filtro!A185,Comparacao!$A$7:$D$200,4,FALSE)</f>
        <v/>
      </c>
      <c r="F185" t="str">
        <f t="array" ref="F185">IFERROR(INDEX(Comparacao!$G$7:$G$200,SMALL(IF(Comparacao!$K$7:$K$200=$A$2,ROW(Comparacao!$G$7:$G$200)),ROW(181:181))-6,1),"")</f>
        <v/>
      </c>
      <c r="G185" t="str">
        <f>IFERROR(VLOOKUP(F185,Lista2[],2,FALSE),"")</f>
        <v/>
      </c>
      <c r="H185" s="1" t="str">
        <f>VLOOKUP(Filtro!F185,Comparacao!$G$7:$J$200,3,FALSE)</f>
        <v/>
      </c>
      <c r="I185" s="1" t="str">
        <f>VLOOKUP(Filtro!F185,Comparacao!$G$7:$J$200,4,FALSE)</f>
        <v/>
      </c>
    </row>
    <row r="186" spans="1:9" x14ac:dyDescent="0.25">
      <c r="A186" s="3" t="str">
        <f t="array" ref="A186">IFERROR(INDEX(Comparacao!$A$7:$A$200,SMALL(IF(Comparacao!$E$7:$E$200=$A$2,ROW(Comparacao!$A$7:$A$200)),ROW(182:182))-6,1),"")</f>
        <v/>
      </c>
      <c r="B186" s="3" t="str">
        <f>IFERROR(VLOOKUP(A186,Lista1[],2,FALSE),"")</f>
        <v/>
      </c>
      <c r="C186" s="1" t="str">
        <f>VLOOKUP(Filtro!A186,Comparacao!$A$7:$D$200,3,FALSE)</f>
        <v/>
      </c>
      <c r="D186" s="1" t="str">
        <f>VLOOKUP(Filtro!A186,Comparacao!$A$7:$D$200,4,FALSE)</f>
        <v/>
      </c>
      <c r="F186" t="str">
        <f t="array" ref="F186">IFERROR(INDEX(Comparacao!$G$7:$G$200,SMALL(IF(Comparacao!$K$7:$K$200=$A$2,ROW(Comparacao!$G$7:$G$200)),ROW(182:182))-6,1),"")</f>
        <v/>
      </c>
      <c r="G186" t="str">
        <f>IFERROR(VLOOKUP(F186,Lista2[],2,FALSE),"")</f>
        <v/>
      </c>
      <c r="H186" s="1" t="str">
        <f>VLOOKUP(Filtro!F186,Comparacao!$G$7:$J$200,3,FALSE)</f>
        <v/>
      </c>
      <c r="I186" s="1" t="str">
        <f>VLOOKUP(Filtro!F186,Comparacao!$G$7:$J$200,4,FALSE)</f>
        <v/>
      </c>
    </row>
    <row r="187" spans="1:9" x14ac:dyDescent="0.25">
      <c r="A187" s="3" t="str">
        <f t="array" ref="A187">IFERROR(INDEX(Comparacao!$A$7:$A$200,SMALL(IF(Comparacao!$E$7:$E$200=$A$2,ROW(Comparacao!$A$7:$A$200)),ROW(183:183))-6,1),"")</f>
        <v/>
      </c>
      <c r="B187" s="3" t="str">
        <f>IFERROR(VLOOKUP(A187,Lista1[],2,FALSE),"")</f>
        <v/>
      </c>
      <c r="C187" s="1" t="str">
        <f>VLOOKUP(Filtro!A187,Comparacao!$A$7:$D$200,3,FALSE)</f>
        <v/>
      </c>
      <c r="D187" s="1" t="str">
        <f>VLOOKUP(Filtro!A187,Comparacao!$A$7:$D$200,4,FALSE)</f>
        <v/>
      </c>
      <c r="F187" t="str">
        <f t="array" ref="F187">IFERROR(INDEX(Comparacao!$G$7:$G$200,SMALL(IF(Comparacao!$K$7:$K$200=$A$2,ROW(Comparacao!$G$7:$G$200)),ROW(183:183))-6,1),"")</f>
        <v/>
      </c>
      <c r="G187" t="str">
        <f>IFERROR(VLOOKUP(F187,Lista2[],2,FALSE),"")</f>
        <v/>
      </c>
      <c r="H187" s="1" t="str">
        <f>VLOOKUP(Filtro!F187,Comparacao!$G$7:$J$200,3,FALSE)</f>
        <v/>
      </c>
      <c r="I187" s="1" t="str">
        <f>VLOOKUP(Filtro!F187,Comparacao!$G$7:$J$200,4,FALSE)</f>
        <v/>
      </c>
    </row>
    <row r="188" spans="1:9" x14ac:dyDescent="0.25">
      <c r="A188" s="3" t="str">
        <f t="array" ref="A188">IFERROR(INDEX(Comparacao!$A$7:$A$200,SMALL(IF(Comparacao!$E$7:$E$200=$A$2,ROW(Comparacao!$A$7:$A$200)),ROW(184:184))-6,1),"")</f>
        <v/>
      </c>
      <c r="B188" s="3" t="str">
        <f>IFERROR(VLOOKUP(A188,Lista1[],2,FALSE),"")</f>
        <v/>
      </c>
      <c r="C188" s="1" t="str">
        <f>VLOOKUP(Filtro!A188,Comparacao!$A$7:$D$200,3,FALSE)</f>
        <v/>
      </c>
      <c r="D188" s="1" t="str">
        <f>VLOOKUP(Filtro!A188,Comparacao!$A$7:$D$200,4,FALSE)</f>
        <v/>
      </c>
      <c r="F188" t="str">
        <f t="array" ref="F188">IFERROR(INDEX(Comparacao!$G$7:$G$200,SMALL(IF(Comparacao!$K$7:$K$200=$A$2,ROW(Comparacao!$G$7:$G$200)),ROW(184:184))-6,1),"")</f>
        <v/>
      </c>
      <c r="G188" t="str">
        <f>IFERROR(VLOOKUP(F188,Lista2[],2,FALSE),"")</f>
        <v/>
      </c>
      <c r="H188" s="1" t="str">
        <f>VLOOKUP(Filtro!F188,Comparacao!$G$7:$J$200,3,FALSE)</f>
        <v/>
      </c>
      <c r="I188" s="1" t="str">
        <f>VLOOKUP(Filtro!F188,Comparacao!$G$7:$J$200,4,FALSE)</f>
        <v/>
      </c>
    </row>
    <row r="189" spans="1:9" x14ac:dyDescent="0.25">
      <c r="A189" s="3" t="str">
        <f t="array" ref="A189">IFERROR(INDEX(Comparacao!$A$7:$A$200,SMALL(IF(Comparacao!$E$7:$E$200=$A$2,ROW(Comparacao!$A$7:$A$200)),ROW(185:185))-6,1),"")</f>
        <v/>
      </c>
      <c r="B189" s="3" t="str">
        <f>IFERROR(VLOOKUP(A189,Lista1[],2,FALSE),"")</f>
        <v/>
      </c>
      <c r="C189" s="1" t="str">
        <f>VLOOKUP(Filtro!A189,Comparacao!$A$7:$D$200,3,FALSE)</f>
        <v/>
      </c>
      <c r="D189" s="1" t="str">
        <f>VLOOKUP(Filtro!A189,Comparacao!$A$7:$D$200,4,FALSE)</f>
        <v/>
      </c>
      <c r="F189" t="str">
        <f t="array" ref="F189">IFERROR(INDEX(Comparacao!$G$7:$G$200,SMALL(IF(Comparacao!$K$7:$K$200=$A$2,ROW(Comparacao!$G$7:$G$200)),ROW(185:185))-6,1),"")</f>
        <v/>
      </c>
      <c r="G189" t="str">
        <f>IFERROR(VLOOKUP(F189,Lista2[],2,FALSE),"")</f>
        <v/>
      </c>
      <c r="H189" s="1" t="str">
        <f>VLOOKUP(Filtro!F189,Comparacao!$G$7:$J$200,3,FALSE)</f>
        <v/>
      </c>
      <c r="I189" s="1" t="str">
        <f>VLOOKUP(Filtro!F189,Comparacao!$G$7:$J$200,4,FALSE)</f>
        <v/>
      </c>
    </row>
    <row r="190" spans="1:9" x14ac:dyDescent="0.25">
      <c r="A190" s="3" t="str">
        <f t="array" ref="A190">IFERROR(INDEX(Comparacao!$A$7:$A$200,SMALL(IF(Comparacao!$E$7:$E$200=$A$2,ROW(Comparacao!$A$7:$A$200)),ROW(186:186))-6,1),"")</f>
        <v/>
      </c>
      <c r="B190" s="3" t="str">
        <f>IFERROR(VLOOKUP(A190,Lista1[],2,FALSE),"")</f>
        <v/>
      </c>
      <c r="C190" s="1" t="str">
        <f>VLOOKUP(Filtro!A190,Comparacao!$A$7:$D$200,3,FALSE)</f>
        <v/>
      </c>
      <c r="D190" s="1" t="str">
        <f>VLOOKUP(Filtro!A190,Comparacao!$A$7:$D$200,4,FALSE)</f>
        <v/>
      </c>
      <c r="F190" t="str">
        <f t="array" ref="F190">IFERROR(INDEX(Comparacao!$G$7:$G$200,SMALL(IF(Comparacao!$K$7:$K$200=$A$2,ROW(Comparacao!$G$7:$G$200)),ROW(186:186))-6,1),"")</f>
        <v/>
      </c>
      <c r="G190" t="str">
        <f>IFERROR(VLOOKUP(F190,Lista2[],2,FALSE),"")</f>
        <v/>
      </c>
      <c r="H190" s="1" t="str">
        <f>VLOOKUP(Filtro!F190,Comparacao!$G$7:$J$200,3,FALSE)</f>
        <v/>
      </c>
      <c r="I190" s="1" t="str">
        <f>VLOOKUP(Filtro!F190,Comparacao!$G$7:$J$200,4,FALSE)</f>
        <v/>
      </c>
    </row>
    <row r="191" spans="1:9" x14ac:dyDescent="0.25">
      <c r="A191" s="3" t="str">
        <f t="array" ref="A191">IFERROR(INDEX(Comparacao!$A$7:$A$200,SMALL(IF(Comparacao!$E$7:$E$200=$A$2,ROW(Comparacao!$A$7:$A$200)),ROW(187:187))-6,1),"")</f>
        <v/>
      </c>
      <c r="B191" s="3" t="str">
        <f>IFERROR(VLOOKUP(A191,Lista1[],2,FALSE),"")</f>
        <v/>
      </c>
      <c r="C191" s="1" t="str">
        <f>VLOOKUP(Filtro!A191,Comparacao!$A$7:$D$200,3,FALSE)</f>
        <v/>
      </c>
      <c r="D191" s="1" t="str">
        <f>VLOOKUP(Filtro!A191,Comparacao!$A$7:$D$200,4,FALSE)</f>
        <v/>
      </c>
      <c r="F191" t="str">
        <f t="array" ref="F191">IFERROR(INDEX(Comparacao!$G$7:$G$200,SMALL(IF(Comparacao!$K$7:$K$200=$A$2,ROW(Comparacao!$G$7:$G$200)),ROW(187:187))-6,1),"")</f>
        <v/>
      </c>
      <c r="G191" t="str">
        <f>IFERROR(VLOOKUP(F191,Lista2[],2,FALSE),"")</f>
        <v/>
      </c>
      <c r="H191" s="1" t="str">
        <f>VLOOKUP(Filtro!F191,Comparacao!$G$7:$J$200,3,FALSE)</f>
        <v/>
      </c>
      <c r="I191" s="1" t="str">
        <f>VLOOKUP(Filtro!F191,Comparacao!$G$7:$J$200,4,FALSE)</f>
        <v/>
      </c>
    </row>
    <row r="192" spans="1:9" x14ac:dyDescent="0.25">
      <c r="A192" s="3" t="str">
        <f t="array" ref="A192">IFERROR(INDEX(Comparacao!$A$7:$A$200,SMALL(IF(Comparacao!$E$7:$E$200=$A$2,ROW(Comparacao!$A$7:$A$200)),ROW(188:188))-6,1),"")</f>
        <v/>
      </c>
      <c r="B192" s="3" t="str">
        <f>IFERROR(VLOOKUP(A192,Lista1[],2,FALSE),"")</f>
        <v/>
      </c>
      <c r="C192" s="1" t="str">
        <f>VLOOKUP(Filtro!A192,Comparacao!$A$7:$D$200,3,FALSE)</f>
        <v/>
      </c>
      <c r="D192" s="1" t="str">
        <f>VLOOKUP(Filtro!A192,Comparacao!$A$7:$D$200,4,FALSE)</f>
        <v/>
      </c>
      <c r="F192" t="str">
        <f t="array" ref="F192">IFERROR(INDEX(Comparacao!$G$7:$G$200,SMALL(IF(Comparacao!$K$7:$K$200=$A$2,ROW(Comparacao!$G$7:$G$200)),ROW(188:188))-6,1),"")</f>
        <v/>
      </c>
      <c r="G192" t="str">
        <f>IFERROR(VLOOKUP(F192,Lista2[],2,FALSE),"")</f>
        <v/>
      </c>
      <c r="H192" s="1" t="str">
        <f>VLOOKUP(Filtro!F192,Comparacao!$G$7:$J$200,3,FALSE)</f>
        <v/>
      </c>
      <c r="I192" s="1" t="str">
        <f>VLOOKUP(Filtro!F192,Comparacao!$G$7:$J$200,4,FALSE)</f>
        <v/>
      </c>
    </row>
    <row r="193" spans="1:9" x14ac:dyDescent="0.25">
      <c r="A193" s="3" t="str">
        <f t="array" ref="A193">IFERROR(INDEX(Comparacao!$A$7:$A$200,SMALL(IF(Comparacao!$E$7:$E$200=$A$2,ROW(Comparacao!$A$7:$A$200)),ROW(189:189))-6,1),"")</f>
        <v/>
      </c>
      <c r="B193" s="3" t="str">
        <f>IFERROR(VLOOKUP(A193,Lista1[],2,FALSE),"")</f>
        <v/>
      </c>
      <c r="C193" s="1" t="str">
        <f>VLOOKUP(Filtro!A193,Comparacao!$A$7:$D$200,3,FALSE)</f>
        <v/>
      </c>
      <c r="D193" s="1" t="str">
        <f>VLOOKUP(Filtro!A193,Comparacao!$A$7:$D$200,4,FALSE)</f>
        <v/>
      </c>
      <c r="F193" t="str">
        <f t="array" ref="F193">IFERROR(INDEX(Comparacao!$G$7:$G$200,SMALL(IF(Comparacao!$K$7:$K$200=$A$2,ROW(Comparacao!$G$7:$G$200)),ROW(189:189))-6,1),"")</f>
        <v/>
      </c>
      <c r="G193" t="str">
        <f>IFERROR(VLOOKUP(F193,Lista2[],2,FALSE),"")</f>
        <v/>
      </c>
      <c r="H193" s="1" t="str">
        <f>VLOOKUP(Filtro!F193,Comparacao!$G$7:$J$200,3,FALSE)</f>
        <v/>
      </c>
      <c r="I193" s="1" t="str">
        <f>VLOOKUP(Filtro!F193,Comparacao!$G$7:$J$200,4,FALSE)</f>
        <v/>
      </c>
    </row>
    <row r="194" spans="1:9" x14ac:dyDescent="0.25">
      <c r="A194" s="3" t="str">
        <f t="array" ref="A194">IFERROR(INDEX(Comparacao!$A$7:$A$200,SMALL(IF(Comparacao!$E$7:$E$200=$A$2,ROW(Comparacao!$A$7:$A$200)),ROW(190:190))-6,1),"")</f>
        <v/>
      </c>
      <c r="B194" s="3" t="str">
        <f>IFERROR(VLOOKUP(A194,Lista1[],2,FALSE),"")</f>
        <v/>
      </c>
      <c r="C194" s="1" t="str">
        <f>VLOOKUP(Filtro!A194,Comparacao!$A$7:$D$200,3,FALSE)</f>
        <v/>
      </c>
      <c r="D194" s="1" t="str">
        <f>VLOOKUP(Filtro!A194,Comparacao!$A$7:$D$200,4,FALSE)</f>
        <v/>
      </c>
      <c r="F194" t="str">
        <f t="array" ref="F194">IFERROR(INDEX(Comparacao!$G$7:$G$200,SMALL(IF(Comparacao!$K$7:$K$200=$A$2,ROW(Comparacao!$G$7:$G$200)),ROW(190:190))-6,1),"")</f>
        <v/>
      </c>
      <c r="G194" t="str">
        <f>IFERROR(VLOOKUP(F194,Lista2[],2,FALSE),"")</f>
        <v/>
      </c>
      <c r="H194" s="1" t="str">
        <f>VLOOKUP(Filtro!F194,Comparacao!$G$7:$J$200,3,FALSE)</f>
        <v/>
      </c>
      <c r="I194" s="1" t="str">
        <f>VLOOKUP(Filtro!F194,Comparacao!$G$7:$J$200,4,FALSE)</f>
        <v/>
      </c>
    </row>
    <row r="195" spans="1:9" x14ac:dyDescent="0.25">
      <c r="A195" s="3" t="str">
        <f t="array" ref="A195">IFERROR(INDEX(Comparacao!$A$7:$A$200,SMALL(IF(Comparacao!$E$7:$E$200=$A$2,ROW(Comparacao!$A$7:$A$200)),ROW(191:191))-6,1),"")</f>
        <v/>
      </c>
      <c r="B195" s="3" t="str">
        <f>IFERROR(VLOOKUP(A195,Lista1[],2,FALSE),"")</f>
        <v/>
      </c>
      <c r="C195" s="1" t="str">
        <f>VLOOKUP(Filtro!A195,Comparacao!$A$7:$D$200,3,FALSE)</f>
        <v/>
      </c>
      <c r="D195" s="1" t="str">
        <f>VLOOKUP(Filtro!A195,Comparacao!$A$7:$D$200,4,FALSE)</f>
        <v/>
      </c>
      <c r="F195" t="str">
        <f t="array" ref="F195">IFERROR(INDEX(Comparacao!$G$7:$G$200,SMALL(IF(Comparacao!$K$7:$K$200=$A$2,ROW(Comparacao!$G$7:$G$200)),ROW(191:191))-6,1),"")</f>
        <v/>
      </c>
      <c r="G195" t="str">
        <f>IFERROR(VLOOKUP(F195,Lista2[],2,FALSE),"")</f>
        <v/>
      </c>
      <c r="H195" s="1" t="str">
        <f>VLOOKUP(Filtro!F195,Comparacao!$G$7:$J$200,3,FALSE)</f>
        <v/>
      </c>
      <c r="I195" s="1" t="str">
        <f>VLOOKUP(Filtro!F195,Comparacao!$G$7:$J$200,4,FALSE)</f>
        <v/>
      </c>
    </row>
    <row r="196" spans="1:9" x14ac:dyDescent="0.25">
      <c r="A196" s="3" t="str">
        <f t="array" ref="A196">IFERROR(INDEX(Comparacao!$A$7:$A$200,SMALL(IF(Comparacao!$E$7:$E$200=$A$2,ROW(Comparacao!$A$7:$A$200)),ROW(192:192))-6,1),"")</f>
        <v/>
      </c>
      <c r="B196" s="3" t="str">
        <f>IFERROR(VLOOKUP(A196,Lista1[],2,FALSE),"")</f>
        <v/>
      </c>
      <c r="C196" s="1" t="str">
        <f>VLOOKUP(Filtro!A196,Comparacao!$A$7:$D$200,3,FALSE)</f>
        <v/>
      </c>
      <c r="D196" s="1" t="str">
        <f>VLOOKUP(Filtro!A196,Comparacao!$A$7:$D$200,4,FALSE)</f>
        <v/>
      </c>
      <c r="F196" t="str">
        <f t="array" ref="F196">IFERROR(INDEX(Comparacao!$G$7:$G$200,SMALL(IF(Comparacao!$K$7:$K$200=$A$2,ROW(Comparacao!$G$7:$G$200)),ROW(192:192))-6,1),"")</f>
        <v/>
      </c>
      <c r="G196" t="str">
        <f>IFERROR(VLOOKUP(F196,Lista2[],2,FALSE),"")</f>
        <v/>
      </c>
      <c r="H196" s="1" t="str">
        <f>VLOOKUP(Filtro!F196,Comparacao!$G$7:$J$200,3,FALSE)</f>
        <v/>
      </c>
      <c r="I196" s="1" t="str">
        <f>VLOOKUP(Filtro!F196,Comparacao!$G$7:$J$200,4,FALSE)</f>
        <v/>
      </c>
    </row>
    <row r="197" spans="1:9" x14ac:dyDescent="0.25">
      <c r="A197" s="3" t="str">
        <f t="array" ref="A197">IFERROR(INDEX(Comparacao!$A$7:$A$200,SMALL(IF(Comparacao!$E$7:$E$200=$A$2,ROW(Comparacao!$A$7:$A$200)),ROW(193:193))-6,1),"")</f>
        <v/>
      </c>
      <c r="B197" s="3" t="str">
        <f>IFERROR(VLOOKUP(A197,Lista1[],2,FALSE),"")</f>
        <v/>
      </c>
      <c r="C197" s="1" t="str">
        <f>VLOOKUP(Filtro!A197,Comparacao!$A$7:$D$200,3,FALSE)</f>
        <v/>
      </c>
      <c r="D197" s="1" t="str">
        <f>VLOOKUP(Filtro!A197,Comparacao!$A$7:$D$200,4,FALSE)</f>
        <v/>
      </c>
      <c r="F197" t="str">
        <f t="array" ref="F197">IFERROR(INDEX(Comparacao!$G$7:$G$200,SMALL(IF(Comparacao!$K$7:$K$200=$A$2,ROW(Comparacao!$G$7:$G$200)),ROW(193:193))-6,1),"")</f>
        <v/>
      </c>
      <c r="G197" t="str">
        <f>IFERROR(VLOOKUP(F197,Lista2[],2,FALSE),"")</f>
        <v/>
      </c>
      <c r="H197" s="1" t="str">
        <f>VLOOKUP(Filtro!F197,Comparacao!$G$7:$J$200,3,FALSE)</f>
        <v/>
      </c>
      <c r="I197" s="1" t="str">
        <f>VLOOKUP(Filtro!F197,Comparacao!$G$7:$J$200,4,FALSE)</f>
        <v/>
      </c>
    </row>
    <row r="198" spans="1:9" x14ac:dyDescent="0.25">
      <c r="A198" s="3" t="str">
        <f t="array" ref="A198">IFERROR(INDEX(Comparacao!$A$7:$A$200,SMALL(IF(Comparacao!$E$7:$E$200=$A$2,ROW(Comparacao!$A$7:$A$200)),ROW(194:194))-6,1),"")</f>
        <v/>
      </c>
      <c r="B198" s="3" t="str">
        <f>IFERROR(VLOOKUP(A198,Lista1[],2,FALSE),"")</f>
        <v/>
      </c>
      <c r="C198" s="1" t="str">
        <f>VLOOKUP(Filtro!A198,Comparacao!$A$7:$D$200,3,FALSE)</f>
        <v/>
      </c>
      <c r="D198" s="1" t="str">
        <f>VLOOKUP(Filtro!A198,Comparacao!$A$7:$D$200,4,FALSE)</f>
        <v/>
      </c>
      <c r="F198" t="str">
        <f t="array" ref="F198">IFERROR(INDEX(Comparacao!$G$7:$G$200,SMALL(IF(Comparacao!$K$7:$K$200=$A$2,ROW(Comparacao!$G$7:$G$200)),ROW(194:194))-6,1),"")</f>
        <v/>
      </c>
      <c r="G198" t="str">
        <f>IFERROR(VLOOKUP(F198,Lista2[],2,FALSE),"")</f>
        <v/>
      </c>
      <c r="H198" s="1" t="str">
        <f>VLOOKUP(Filtro!F198,Comparacao!$G$7:$J$200,3,FALSE)</f>
        <v/>
      </c>
      <c r="I198" s="1" t="str">
        <f>VLOOKUP(Filtro!F198,Comparacao!$G$7:$J$200,4,FALSE)</f>
        <v/>
      </c>
    </row>
    <row r="199" spans="1:9" x14ac:dyDescent="0.25">
      <c r="A199" s="3" t="str">
        <f t="array" ref="A199">IFERROR(INDEX(Comparacao!$A$7:$A$200,SMALL(IF(Comparacao!$E$7:$E$200=$A$2,ROW(Comparacao!$A$7:$A$200)),ROW(195:195))-6,1),"")</f>
        <v/>
      </c>
      <c r="B199" s="3" t="str">
        <f>IFERROR(VLOOKUP(A199,Lista1[],2,FALSE),"")</f>
        <v/>
      </c>
      <c r="C199" s="1" t="str">
        <f>VLOOKUP(Filtro!A199,Comparacao!$A$7:$D$200,3,FALSE)</f>
        <v/>
      </c>
      <c r="D199" s="1" t="str">
        <f>VLOOKUP(Filtro!A199,Comparacao!$A$7:$D$200,4,FALSE)</f>
        <v/>
      </c>
      <c r="F199" t="str">
        <f t="array" ref="F199">IFERROR(INDEX(Comparacao!$G$7:$G$200,SMALL(IF(Comparacao!$K$7:$K$200=$A$2,ROW(Comparacao!$G$7:$G$200)),ROW(195:195))-6,1),"")</f>
        <v/>
      </c>
      <c r="G199" t="str">
        <f>IFERROR(VLOOKUP(F199,Lista2[],2,FALSE),"")</f>
        <v/>
      </c>
      <c r="H199" s="1" t="str">
        <f>VLOOKUP(Filtro!F199,Comparacao!$G$7:$J$200,3,FALSE)</f>
        <v/>
      </c>
      <c r="I199" s="1" t="str">
        <f>VLOOKUP(Filtro!F199,Comparacao!$G$7:$J$200,4,FALSE)</f>
        <v/>
      </c>
    </row>
    <row r="200" spans="1:9" x14ac:dyDescent="0.25">
      <c r="A200" s="3" t="str">
        <f t="array" ref="A200">IFERROR(INDEX(Comparacao!$A$7:$A$200,SMALL(IF(Comparacao!$E$7:$E$200=$A$2,ROW(Comparacao!$A$7:$A$200)),ROW(196:196))-6,1),"")</f>
        <v/>
      </c>
      <c r="B200" s="3" t="str">
        <f>IFERROR(VLOOKUP(A200,Lista1[],2,FALSE),"")</f>
        <v/>
      </c>
      <c r="C200" s="1" t="str">
        <f>VLOOKUP(Filtro!A200,Comparacao!$A$7:$D$200,3,FALSE)</f>
        <v/>
      </c>
      <c r="D200" s="1" t="str">
        <f>VLOOKUP(Filtro!A200,Comparacao!$A$7:$D$200,4,FALSE)</f>
        <v/>
      </c>
      <c r="F200" t="str">
        <f t="array" ref="F200">IFERROR(INDEX(Comparacao!$G$7:$G$200,SMALL(IF(Comparacao!$K$7:$K$200=$A$2,ROW(Comparacao!$G$7:$G$200)),ROW(196:196))-6,1),"")</f>
        <v/>
      </c>
      <c r="G200" t="str">
        <f>IFERROR(VLOOKUP(F200,Lista2[],2,FALSE),"")</f>
        <v/>
      </c>
      <c r="H200" s="1" t="str">
        <f>VLOOKUP(Filtro!F200,Comparacao!$G$7:$J$200,3,FALSE)</f>
        <v/>
      </c>
      <c r="I200" s="1" t="str">
        <f>VLOOKUP(Filtro!F200,Comparacao!$G$7:$J$200,4,FALSE)</f>
        <v/>
      </c>
    </row>
    <row r="201" spans="1:9" x14ac:dyDescent="0.25">
      <c r="A201" s="3" t="str">
        <f t="array" ref="A201">IFERROR(INDEX(Comparacao!$A$7:$A$200,SMALL(IF(Comparacao!$E$7:$E$200=$A$2,ROW(Comparacao!$A$7:$A$200)),ROW(197:197))-4,1),"")</f>
        <v/>
      </c>
      <c r="B201" s="3" t="str">
        <f>IFERROR(VLOOKUP(A201,Lista1[],2,FALSE),"")</f>
        <v/>
      </c>
      <c r="C201" s="1" t="str">
        <f>VLOOKUP(Filtro!A201,Comparacao!$A$7:$D$200,3,FALSE)</f>
        <v/>
      </c>
      <c r="D201" s="1" t="str">
        <f>VLOOKUP(Filtro!A201,Comparacao!$A$7:$D$200,4,FALSE)</f>
        <v/>
      </c>
      <c r="F201" t="str">
        <f t="array" ref="F201">IFERROR(INDEX(Comparacao!$G$7:$G$200,SMALL(IF(Comparacao!$K$7:$K$200=$A$2,ROW(Comparacao!$G$7:$G$200)),ROW(197:197))-4,1),"")</f>
        <v/>
      </c>
      <c r="G201" t="str">
        <f>IFERROR(VLOOKUP(F201,Lista2[],2,FALSE),"")</f>
        <v/>
      </c>
      <c r="H201" s="1" t="str">
        <f>VLOOKUP(Filtro!F201,Comparacao!$G$7:$J$200,3,FALSE)</f>
        <v/>
      </c>
      <c r="I201" s="1" t="str">
        <f>VLOOKUP(Filtro!F201,Comparacao!$G$7:$J$200,4,FALSE)</f>
        <v/>
      </c>
    </row>
    <row r="202" spans="1:9" x14ac:dyDescent="0.25">
      <c r="A202" s="3" t="str">
        <f t="array" ref="A202">IFERROR(INDEX(Comparacao!$A$7:$A$200,SMALL(IF(Comparacao!$E$7:$E$200=$A$2,ROW(Comparacao!$A$7:$A$200)),ROW(198:198))-4,1),"")</f>
        <v/>
      </c>
      <c r="B202" s="3" t="str">
        <f>IFERROR(VLOOKUP(A202,Lista1[],2,FALSE),"")</f>
        <v/>
      </c>
      <c r="C202" s="1" t="str">
        <f>VLOOKUP(Filtro!A202,Comparacao!$A$7:$D$200,3,FALSE)</f>
        <v/>
      </c>
      <c r="D202" s="1" t="str">
        <f>VLOOKUP(Filtro!A202,Comparacao!$A$7:$D$200,4,FALSE)</f>
        <v/>
      </c>
      <c r="F202" t="str">
        <f t="array" ref="F202">IFERROR(INDEX(Comparacao!$G$7:$G$200,SMALL(IF(Comparacao!$K$7:$K$200=$A$2,ROW(Comparacao!$G$7:$G$200)),ROW(198:198))-4,1),"")</f>
        <v/>
      </c>
      <c r="G202" t="str">
        <f>IFERROR(VLOOKUP(F202,Lista2[],2,FALSE),"")</f>
        <v/>
      </c>
      <c r="H202" s="1" t="str">
        <f>VLOOKUP(Filtro!F202,Comparacao!$G$7:$J$200,3,FALSE)</f>
        <v/>
      </c>
      <c r="I202" s="1" t="str">
        <f>VLOOKUP(Filtro!F202,Comparacao!$G$7:$J$200,4,FALSE)</f>
        <v/>
      </c>
    </row>
    <row r="203" spans="1:9" x14ac:dyDescent="0.25">
      <c r="A203" s="3" t="str">
        <f t="array" ref="A203">IFERROR(INDEX(Comparacao!$A$7:$A$200,SMALL(IF(Comparacao!$E$7:$E$200=$A$2,ROW(Comparacao!$A$7:$A$200)),ROW(199:199))-4,1),"")</f>
        <v/>
      </c>
      <c r="B203" s="3" t="str">
        <f>IFERROR(VLOOKUP(A203,Lista1[],2,FALSE),"")</f>
        <v/>
      </c>
      <c r="C203" s="1" t="str">
        <f>VLOOKUP(Filtro!A203,Comparacao!$A$7:$D$200,3,FALSE)</f>
        <v/>
      </c>
      <c r="D203" s="1" t="str">
        <f>VLOOKUP(Filtro!A203,Comparacao!$A$7:$D$200,4,FALSE)</f>
        <v/>
      </c>
      <c r="F203" t="str">
        <f t="array" ref="F203">IFERROR(INDEX(Comparacao!$G$7:$G$200,SMALL(IF(Comparacao!$K$7:$K$200=$A$2,ROW(Comparacao!$G$7:$G$200)),ROW(199:199))-4,1),"")</f>
        <v/>
      </c>
      <c r="G203" t="str">
        <f>IFERROR(VLOOKUP(F203,Lista2[],2,FALSE),"")</f>
        <v/>
      </c>
      <c r="H203" s="1" t="str">
        <f>VLOOKUP(Filtro!F203,Comparacao!$G$7:$J$200,3,FALSE)</f>
        <v/>
      </c>
      <c r="I203" s="1" t="str">
        <f>VLOOKUP(Filtro!F203,Comparacao!$G$7:$J$200,4,FALSE)</f>
        <v/>
      </c>
    </row>
    <row r="204" spans="1:9" x14ac:dyDescent="0.25">
      <c r="A204" s="3" t="str">
        <f t="array" ref="A204">IFERROR(INDEX(Comparacao!$A$7:$A$200,SMALL(IF(Comparacao!$E$7:$E$200=$A$2,ROW(Comparacao!$A$7:$A$200)),ROW(200:200))-4,1),"")</f>
        <v/>
      </c>
      <c r="B204" s="3" t="str">
        <f>IFERROR(VLOOKUP(A204,Lista1[],2,FALSE),"")</f>
        <v/>
      </c>
      <c r="C204" s="1" t="str">
        <f>VLOOKUP(Filtro!A204,Comparacao!$A$7:$D$200,3,FALSE)</f>
        <v/>
      </c>
      <c r="D204" s="1" t="str">
        <f>VLOOKUP(Filtro!A204,Comparacao!$A$7:$D$200,4,FALSE)</f>
        <v/>
      </c>
      <c r="F204" t="str">
        <f t="array" ref="F204">IFERROR(INDEX(Comparacao!$G$7:$G$200,SMALL(IF(Comparacao!$K$7:$K$200=$A$2,ROW(Comparacao!$G$7:$G$200)),ROW(200:200))-4,1),"")</f>
        <v/>
      </c>
      <c r="G204" t="str">
        <f>IFERROR(VLOOKUP(F204,Lista2[],2,FALSE),"")</f>
        <v/>
      </c>
      <c r="H204" s="1" t="str">
        <f>VLOOKUP(Filtro!F204,Comparacao!$G$7:$J$200,3,FALSE)</f>
        <v/>
      </c>
      <c r="I204" s="1" t="str">
        <f>VLOOKUP(Filtro!F204,Comparacao!$G$7:$J$200,4,FALSE)</f>
        <v/>
      </c>
    </row>
    <row r="205" spans="1:9" x14ac:dyDescent="0.25">
      <c r="A205" s="3" t="str">
        <f t="array" ref="A205">IFERROR(INDEX(Comparacao!$A$7:$A$200,SMALL(IF(Comparacao!$E$7:$E$200=$A$2,ROW(Comparacao!$A$7:$A$200)),ROW(201:201))-4,1),"")</f>
        <v/>
      </c>
      <c r="B205" s="3" t="str">
        <f>IFERROR(VLOOKUP(A205,Lista1[],2,FALSE),"")</f>
        <v/>
      </c>
      <c r="C205" s="1" t="str">
        <f>VLOOKUP(Filtro!A205,Comparacao!$A$7:$D$200,3,FALSE)</f>
        <v/>
      </c>
      <c r="D205" s="1" t="str">
        <f>VLOOKUP(Filtro!A205,Comparacao!$A$7:$D$200,4,FALSE)</f>
        <v/>
      </c>
      <c r="F205" t="str">
        <f t="array" ref="F205">IFERROR(INDEX(Comparacao!$G$7:$G$200,SMALL(IF(Comparacao!$K$7:$K$200=$A$2,ROW(Comparacao!$G$7:$G$200)),ROW(201:201))-4,1),"")</f>
        <v/>
      </c>
      <c r="G205" t="str">
        <f>IFERROR(VLOOKUP(F205,Lista2[],2,FALSE),"")</f>
        <v/>
      </c>
      <c r="H205" s="1" t="str">
        <f>VLOOKUP(Filtro!F205,Comparacao!$G$7:$J$200,3,FALSE)</f>
        <v/>
      </c>
      <c r="I205" s="1" t="str">
        <f>VLOOKUP(Filtro!F205,Comparacao!$G$7:$J$200,4,FALSE)</f>
        <v/>
      </c>
    </row>
    <row r="206" spans="1:9" x14ac:dyDescent="0.25">
      <c r="A206" s="3" t="str">
        <f t="array" ref="A206">IFERROR(INDEX(Comparacao!$A$7:$A$200,SMALL(IF(Comparacao!$E$7:$E$200=$A$2,ROW(Comparacao!$A$7:$A$200)),ROW(202:202))-4,1),"")</f>
        <v/>
      </c>
      <c r="B206" s="3" t="str">
        <f>IFERROR(VLOOKUP(A206,Lista1[],2,FALSE),"")</f>
        <v/>
      </c>
      <c r="C206" s="1" t="str">
        <f>VLOOKUP(Filtro!A206,Comparacao!$A$7:$D$200,3,FALSE)</f>
        <v/>
      </c>
      <c r="D206" s="1" t="str">
        <f>VLOOKUP(Filtro!A206,Comparacao!$A$7:$D$200,4,FALSE)</f>
        <v/>
      </c>
      <c r="F206" t="str">
        <f t="array" ref="F206">IFERROR(INDEX(Comparacao!$G$7:$G$200,SMALL(IF(Comparacao!$K$7:$K$200=$A$2,ROW(Comparacao!$G$7:$G$200)),ROW(202:202))-4,1),"")</f>
        <v/>
      </c>
      <c r="G206" t="str">
        <f>IFERROR(VLOOKUP(F206,Lista2[],2,FALSE),"")</f>
        <v/>
      </c>
      <c r="H206" s="1" t="str">
        <f>VLOOKUP(Filtro!F206,Comparacao!$G$7:$J$200,3,FALSE)</f>
        <v/>
      </c>
      <c r="I206" s="1" t="str">
        <f>VLOOKUP(Filtro!F206,Comparacao!$G$7:$J$200,4,FALSE)</f>
        <v/>
      </c>
    </row>
    <row r="207" spans="1:9" x14ac:dyDescent="0.25">
      <c r="A207" s="3" t="str">
        <f t="array" ref="A207">IFERROR(INDEX(Comparacao!$A$7:$A$200,SMALL(IF(Comparacao!$E$7:$E$200=$A$2,ROW(Comparacao!$A$7:$A$200)),ROW(203:203))-4,1),"")</f>
        <v/>
      </c>
      <c r="B207" s="3" t="str">
        <f>IFERROR(VLOOKUP(A207,Lista1[],2,FALSE),"")</f>
        <v/>
      </c>
      <c r="C207" s="1" t="str">
        <f>VLOOKUP(Filtro!A207,Comparacao!$A$7:$D$200,3,FALSE)</f>
        <v/>
      </c>
      <c r="D207" s="1" t="str">
        <f>VLOOKUP(Filtro!A207,Comparacao!$A$7:$D$200,4,FALSE)</f>
        <v/>
      </c>
      <c r="F207" t="str">
        <f t="array" ref="F207">IFERROR(INDEX(Comparacao!$G$7:$G$200,SMALL(IF(Comparacao!$K$7:$K$200=$A$2,ROW(Comparacao!$G$7:$G$200)),ROW(203:203))-4,1),"")</f>
        <v/>
      </c>
      <c r="G207" t="str">
        <f>IFERROR(VLOOKUP(F207,Lista2[],2,FALSE),"")</f>
        <v/>
      </c>
      <c r="H207" s="1" t="str">
        <f>VLOOKUP(Filtro!F207,Comparacao!$G$7:$J$200,3,FALSE)</f>
        <v/>
      </c>
      <c r="I207" s="1" t="str">
        <f>VLOOKUP(Filtro!F207,Comparacao!$G$7:$J$200,4,FALSE)</f>
        <v/>
      </c>
    </row>
    <row r="208" spans="1:9" x14ac:dyDescent="0.25">
      <c r="A208" s="3" t="str">
        <f t="array" ref="A208">IFERROR(INDEX(Comparacao!$A$7:$A$200,SMALL(IF(Comparacao!$E$7:$E$200=$A$2,ROW(Comparacao!$A$7:$A$200)),ROW(204:204))-4,1),"")</f>
        <v/>
      </c>
      <c r="B208" s="3" t="str">
        <f>IFERROR(VLOOKUP(A208,Lista1[],2,FALSE),"")</f>
        <v/>
      </c>
      <c r="C208" s="1" t="str">
        <f>VLOOKUP(Filtro!A208,Comparacao!$A$7:$D$200,3,FALSE)</f>
        <v/>
      </c>
      <c r="D208" s="1" t="str">
        <f>VLOOKUP(Filtro!A208,Comparacao!$A$7:$D$200,4,FALSE)</f>
        <v/>
      </c>
      <c r="F208" t="str">
        <f t="array" ref="F208">IFERROR(INDEX(Comparacao!$G$7:$G$200,SMALL(IF(Comparacao!$K$7:$K$200=$A$2,ROW(Comparacao!$G$7:$G$200)),ROW(204:204))-4,1),"")</f>
        <v/>
      </c>
      <c r="G208" t="str">
        <f>IFERROR(VLOOKUP(F208,Lista2[],2,FALSE),"")</f>
        <v/>
      </c>
      <c r="H208" s="1" t="str">
        <f>VLOOKUP(Filtro!F208,Comparacao!$G$7:$J$200,3,FALSE)</f>
        <v/>
      </c>
      <c r="I208" s="1" t="str">
        <f>VLOOKUP(Filtro!F208,Comparacao!$G$7:$J$200,4,FALSE)</f>
        <v/>
      </c>
    </row>
    <row r="209" spans="1:9" x14ac:dyDescent="0.25">
      <c r="A209" s="3" t="str">
        <f t="array" ref="A209">IFERROR(INDEX(Comparacao!$A$7:$A$200,SMALL(IF(Comparacao!$E$7:$E$200=$A$2,ROW(Comparacao!$A$7:$A$200)),ROW(205:205))-4,1),"")</f>
        <v/>
      </c>
      <c r="B209" s="3" t="str">
        <f>IFERROR(VLOOKUP(A209,Lista1[],2,FALSE),"")</f>
        <v/>
      </c>
      <c r="C209" s="1" t="str">
        <f>VLOOKUP(Filtro!A209,Comparacao!$A$7:$D$200,3,FALSE)</f>
        <v/>
      </c>
      <c r="D209" s="1" t="str">
        <f>VLOOKUP(Filtro!A209,Comparacao!$A$7:$D$200,4,FALSE)</f>
        <v/>
      </c>
      <c r="F209" t="str">
        <f t="array" ref="F209">IFERROR(INDEX(Comparacao!$G$7:$G$200,SMALL(IF(Comparacao!$K$7:$K$200=$A$2,ROW(Comparacao!$G$7:$G$200)),ROW(205:205))-4,1),"")</f>
        <v/>
      </c>
      <c r="G209" t="str">
        <f>IFERROR(VLOOKUP(F209,Lista2[],2,FALSE),"")</f>
        <v/>
      </c>
      <c r="H209" s="1" t="str">
        <f>VLOOKUP(Filtro!F209,Comparacao!$G$7:$J$200,3,FALSE)</f>
        <v/>
      </c>
      <c r="I209" s="1" t="str">
        <f>VLOOKUP(Filtro!F209,Comparacao!$G$7:$J$200,4,FALSE)</f>
        <v/>
      </c>
    </row>
    <row r="210" spans="1:9" x14ac:dyDescent="0.25">
      <c r="A210" s="3" t="str">
        <f t="array" ref="A210">IFERROR(INDEX(Comparacao!$A$7:$A$200,SMALL(IF(Comparacao!$E$7:$E$200=$A$2,ROW(Comparacao!$A$7:$A$200)),ROW(206:206))-4,1),"")</f>
        <v/>
      </c>
      <c r="B210" s="3" t="str">
        <f>IFERROR(VLOOKUP(A210,Lista1[],2,FALSE),"")</f>
        <v/>
      </c>
      <c r="C210" s="1" t="str">
        <f>VLOOKUP(Filtro!A210,Comparacao!$A$7:$D$200,3,FALSE)</f>
        <v/>
      </c>
      <c r="D210" s="1" t="str">
        <f>VLOOKUP(Filtro!A210,Comparacao!$A$7:$D$200,4,FALSE)</f>
        <v/>
      </c>
      <c r="F210" t="str">
        <f t="array" ref="F210">IFERROR(INDEX(Comparacao!$G$7:$G$200,SMALL(IF(Comparacao!$K$7:$K$200=$A$2,ROW(Comparacao!$G$7:$G$200)),ROW(206:206))-4,1),"")</f>
        <v/>
      </c>
      <c r="G210" t="str">
        <f>IFERROR(VLOOKUP(F210,Lista2[],2,FALSE),"")</f>
        <v/>
      </c>
      <c r="H210" s="1" t="str">
        <f>VLOOKUP(Filtro!F210,Comparacao!$G$7:$J$200,3,FALSE)</f>
        <v/>
      </c>
      <c r="I210" s="1" t="str">
        <f>VLOOKUP(Filtro!F210,Comparacao!$G$7:$J$200,4,FALSE)</f>
        <v/>
      </c>
    </row>
    <row r="211" spans="1:9" x14ac:dyDescent="0.25">
      <c r="A211" s="3" t="str">
        <f t="array" ref="A211">IFERROR(INDEX(Comparacao!$A$7:$A$200,SMALL(IF(Comparacao!$E$7:$E$200=$A$2,ROW(Comparacao!$A$7:$A$200)),ROW(207:207))-4,1),"")</f>
        <v/>
      </c>
      <c r="B211" s="3" t="str">
        <f>IFERROR(VLOOKUP(A211,Lista1[],2,FALSE),"")</f>
        <v/>
      </c>
      <c r="C211" s="1" t="str">
        <f>VLOOKUP(Filtro!A211,Comparacao!$A$7:$D$200,3,FALSE)</f>
        <v/>
      </c>
      <c r="D211" s="1" t="str">
        <f>VLOOKUP(Filtro!A211,Comparacao!$A$7:$D$200,4,FALSE)</f>
        <v/>
      </c>
      <c r="F211" t="str">
        <f t="array" ref="F211">IFERROR(INDEX(Comparacao!$G$7:$G$200,SMALL(IF(Comparacao!$K$7:$K$200=$A$2,ROW(Comparacao!$G$7:$G$200)),ROW(207:207))-4,1),"")</f>
        <v/>
      </c>
      <c r="G211" t="str">
        <f>IFERROR(VLOOKUP(F211,Lista2[],2,FALSE),"")</f>
        <v/>
      </c>
      <c r="H211" s="1" t="str">
        <f>VLOOKUP(Filtro!F211,Comparacao!$G$7:$J$200,3,FALSE)</f>
        <v/>
      </c>
      <c r="I211" s="1" t="str">
        <f>VLOOKUP(Filtro!F211,Comparacao!$G$7:$J$200,4,FALSE)</f>
        <v/>
      </c>
    </row>
    <row r="212" spans="1:9" x14ac:dyDescent="0.25">
      <c r="A212" s="3" t="str">
        <f t="array" ref="A212">IFERROR(INDEX(Comparacao!$A$7:$A$200,SMALL(IF(Comparacao!$E$7:$E$200=$A$2,ROW(Comparacao!$A$7:$A$200)),ROW(208:208))-4,1),"")</f>
        <v/>
      </c>
      <c r="B212" s="3" t="str">
        <f>IFERROR(VLOOKUP(A212,Lista1[],2,FALSE),"")</f>
        <v/>
      </c>
      <c r="C212" s="1" t="str">
        <f>VLOOKUP(Filtro!A212,Comparacao!$A$7:$D$200,3,FALSE)</f>
        <v/>
      </c>
      <c r="D212" s="1" t="str">
        <f>VLOOKUP(Filtro!A212,Comparacao!$A$7:$D$200,4,FALSE)</f>
        <v/>
      </c>
      <c r="F212" t="str">
        <f t="array" ref="F212">IFERROR(INDEX(Comparacao!$G$7:$G$200,SMALL(IF(Comparacao!$K$7:$K$200=$A$2,ROW(Comparacao!$G$7:$G$200)),ROW(208:208))-4,1),"")</f>
        <v/>
      </c>
      <c r="G212" t="str">
        <f>IFERROR(VLOOKUP(F212,Lista2[],2,FALSE),"")</f>
        <v/>
      </c>
      <c r="H212" s="1" t="str">
        <f>VLOOKUP(Filtro!F212,Comparacao!$G$7:$J$200,3,FALSE)</f>
        <v/>
      </c>
      <c r="I212" s="1" t="str">
        <f>VLOOKUP(Filtro!F212,Comparacao!$G$7:$J$200,4,FALSE)</f>
        <v/>
      </c>
    </row>
    <row r="213" spans="1:9" x14ac:dyDescent="0.25">
      <c r="A213" s="3" t="str">
        <f t="array" ref="A213">IFERROR(INDEX(Comparacao!$A$7:$A$200,SMALL(IF(Comparacao!$E$7:$E$200=$A$2,ROW(Comparacao!$A$7:$A$200)),ROW(209:209))-4,1),"")</f>
        <v/>
      </c>
      <c r="B213" s="3" t="str">
        <f>IFERROR(VLOOKUP(A213,Lista1[],2,FALSE),"")</f>
        <v/>
      </c>
      <c r="C213" s="1" t="str">
        <f>VLOOKUP(Filtro!A213,Comparacao!$A$7:$D$200,3,FALSE)</f>
        <v/>
      </c>
      <c r="D213" s="1" t="str">
        <f>VLOOKUP(Filtro!A213,Comparacao!$A$7:$D$200,4,FALSE)</f>
        <v/>
      </c>
      <c r="F213" t="str">
        <f t="array" ref="F213">IFERROR(INDEX(Comparacao!$G$7:$G$200,SMALL(IF(Comparacao!$K$7:$K$200=$A$2,ROW(Comparacao!$G$7:$G$200)),ROW(209:209))-4,1),"")</f>
        <v/>
      </c>
      <c r="G213" t="str">
        <f>IFERROR(VLOOKUP(F213,Lista2[],2,FALSE),"")</f>
        <v/>
      </c>
      <c r="H213" s="1" t="str">
        <f>VLOOKUP(Filtro!F213,Comparacao!$G$7:$J$200,3,FALSE)</f>
        <v/>
      </c>
      <c r="I213" s="1" t="str">
        <f>VLOOKUP(Filtro!F213,Comparacao!$G$7:$J$200,4,FALSE)</f>
        <v/>
      </c>
    </row>
    <row r="214" spans="1:9" x14ac:dyDescent="0.25">
      <c r="A214" s="3" t="str">
        <f t="array" ref="A214">IFERROR(INDEX(Comparacao!$A$7:$A$200,SMALL(IF(Comparacao!$E$7:$E$200=$A$2,ROW(Comparacao!$A$7:$A$200)),ROW(210:210))-4,1),"")</f>
        <v/>
      </c>
      <c r="B214" s="3" t="str">
        <f>IFERROR(VLOOKUP(A214,Lista1[],2,FALSE),"")</f>
        <v/>
      </c>
      <c r="C214" s="1" t="str">
        <f>VLOOKUP(Filtro!A214,Comparacao!$A$7:$D$200,3,FALSE)</f>
        <v/>
      </c>
      <c r="D214" s="1" t="str">
        <f>VLOOKUP(Filtro!A214,Comparacao!$A$7:$D$200,4,FALSE)</f>
        <v/>
      </c>
      <c r="F214" t="str">
        <f t="array" ref="F214">IFERROR(INDEX(Comparacao!$G$7:$G$200,SMALL(IF(Comparacao!$K$7:$K$200=$A$2,ROW(Comparacao!$G$7:$G$200)),ROW(210:210))-4,1),"")</f>
        <v/>
      </c>
      <c r="G214" t="str">
        <f>IFERROR(VLOOKUP(F214,Lista2[],2,FALSE),"")</f>
        <v/>
      </c>
      <c r="H214" s="1" t="str">
        <f>VLOOKUP(Filtro!F214,Comparacao!$G$7:$J$200,3,FALSE)</f>
        <v/>
      </c>
      <c r="I214" s="1" t="str">
        <f>VLOOKUP(Filtro!F214,Comparacao!$G$7:$J$200,4,FALSE)</f>
        <v/>
      </c>
    </row>
    <row r="215" spans="1:9" x14ac:dyDescent="0.25">
      <c r="A215" s="3" t="str">
        <f t="array" ref="A215">IFERROR(INDEX(Comparacao!$A$7:$A$200,SMALL(IF(Comparacao!$E$7:$E$200=$A$2,ROW(Comparacao!$A$7:$A$200)),ROW(211:211))-4,1),"")</f>
        <v/>
      </c>
      <c r="B215" s="3" t="str">
        <f>IFERROR(VLOOKUP(A215,Lista1[],2,FALSE),"")</f>
        <v/>
      </c>
      <c r="C215" s="1" t="str">
        <f>VLOOKUP(Filtro!A215,Comparacao!$A$7:$D$200,3,FALSE)</f>
        <v/>
      </c>
      <c r="D215" s="1" t="str">
        <f>VLOOKUP(Filtro!A215,Comparacao!$A$7:$D$200,4,FALSE)</f>
        <v/>
      </c>
      <c r="F215" t="str">
        <f t="array" ref="F215">IFERROR(INDEX(Comparacao!$G$7:$G$200,SMALL(IF(Comparacao!$K$7:$K$200=$A$2,ROW(Comparacao!$G$7:$G$200)),ROW(211:211))-4,1),"")</f>
        <v/>
      </c>
      <c r="G215" t="str">
        <f>IFERROR(VLOOKUP(F215,Lista2[],2,FALSE),"")</f>
        <v/>
      </c>
      <c r="H215" s="1" t="str">
        <f>VLOOKUP(Filtro!F215,Comparacao!$G$7:$J$200,3,FALSE)</f>
        <v/>
      </c>
      <c r="I215" s="1" t="str">
        <f>VLOOKUP(Filtro!F215,Comparacao!$G$7:$J$200,4,FALSE)</f>
        <v/>
      </c>
    </row>
    <row r="216" spans="1:9" x14ac:dyDescent="0.25">
      <c r="A216" s="3" t="str">
        <f t="array" ref="A216">IFERROR(INDEX(Comparacao!$A$7:$A$200,SMALL(IF(Comparacao!$E$7:$E$200=$A$2,ROW(Comparacao!$A$7:$A$200)),ROW(212:212))-4,1),"")</f>
        <v/>
      </c>
      <c r="B216" s="3" t="str">
        <f>IFERROR(VLOOKUP(A216,Lista1[],2,FALSE),"")</f>
        <v/>
      </c>
      <c r="C216" s="1" t="str">
        <f>VLOOKUP(Filtro!A216,Comparacao!$A$7:$D$200,3,FALSE)</f>
        <v/>
      </c>
      <c r="D216" s="1" t="str">
        <f>VLOOKUP(Filtro!A216,Comparacao!$A$7:$D$200,4,FALSE)</f>
        <v/>
      </c>
      <c r="F216" t="str">
        <f t="array" ref="F216">IFERROR(INDEX(Comparacao!$G$7:$G$200,SMALL(IF(Comparacao!$K$7:$K$200=$A$2,ROW(Comparacao!$G$7:$G$200)),ROW(212:212))-4,1),"")</f>
        <v/>
      </c>
      <c r="G216" t="str">
        <f>IFERROR(VLOOKUP(F216,Lista2[],2,FALSE),"")</f>
        <v/>
      </c>
      <c r="H216" s="1" t="str">
        <f>VLOOKUP(Filtro!F216,Comparacao!$G$7:$J$200,3,FALSE)</f>
        <v/>
      </c>
      <c r="I216" s="1" t="str">
        <f>VLOOKUP(Filtro!F216,Comparacao!$G$7:$J$200,4,FALSE)</f>
        <v/>
      </c>
    </row>
    <row r="217" spans="1:9" x14ac:dyDescent="0.25">
      <c r="A217" s="3" t="str">
        <f t="array" ref="A217">IFERROR(INDEX(Comparacao!$A$7:$A$200,SMALL(IF(Comparacao!$E$7:$E$200=$A$2,ROW(Comparacao!$A$7:$A$200)),ROW(213:213))-4,1),"")</f>
        <v/>
      </c>
      <c r="B217" s="3" t="str">
        <f>IFERROR(VLOOKUP(A217,Lista1[],2,FALSE),"")</f>
        <v/>
      </c>
      <c r="C217" s="1" t="str">
        <f>VLOOKUP(Filtro!A217,Comparacao!$A$7:$D$200,3,FALSE)</f>
        <v/>
      </c>
      <c r="D217" s="1" t="str">
        <f>VLOOKUP(Filtro!A217,Comparacao!$A$7:$D$200,4,FALSE)</f>
        <v/>
      </c>
      <c r="F217" t="str">
        <f t="array" ref="F217">IFERROR(INDEX(Comparacao!$G$7:$G$200,SMALL(IF(Comparacao!$K$7:$K$200=$A$2,ROW(Comparacao!$G$7:$G$200)),ROW(213:213))-4,1),"")</f>
        <v/>
      </c>
      <c r="G217" t="str">
        <f>IFERROR(VLOOKUP(F217,Lista2[],2,FALSE),"")</f>
        <v/>
      </c>
      <c r="H217" s="1" t="str">
        <f>VLOOKUP(Filtro!F217,Comparacao!$G$7:$J$200,3,FALSE)</f>
        <v/>
      </c>
      <c r="I217" s="1" t="str">
        <f>VLOOKUP(Filtro!F217,Comparacao!$G$7:$J$200,4,FALSE)</f>
        <v/>
      </c>
    </row>
    <row r="218" spans="1:9" x14ac:dyDescent="0.25">
      <c r="A218" s="3" t="str">
        <f t="array" ref="A218">IFERROR(INDEX(Comparacao!$A$7:$A$200,SMALL(IF(Comparacao!$E$7:$E$200=$A$2,ROW(Comparacao!$A$7:$A$200)),ROW(214:214))-4,1),"")</f>
        <v/>
      </c>
      <c r="B218" s="3" t="str">
        <f>IFERROR(VLOOKUP(A218,Lista1[],2,FALSE),"")</f>
        <v/>
      </c>
      <c r="C218" s="1" t="str">
        <f>VLOOKUP(Filtro!A218,Comparacao!$A$7:$D$200,3,FALSE)</f>
        <v/>
      </c>
      <c r="D218" s="1" t="str">
        <f>VLOOKUP(Filtro!A218,Comparacao!$A$7:$D$200,4,FALSE)</f>
        <v/>
      </c>
      <c r="F218" t="str">
        <f t="array" ref="F218">IFERROR(INDEX(Comparacao!$G$7:$G$200,SMALL(IF(Comparacao!$K$7:$K$200=$A$2,ROW(Comparacao!$G$7:$G$200)),ROW(214:214))-4,1),"")</f>
        <v/>
      </c>
      <c r="G218" t="str">
        <f>IFERROR(VLOOKUP(F218,Lista2[],2,FALSE),"")</f>
        <v/>
      </c>
      <c r="H218" s="1" t="str">
        <f>VLOOKUP(Filtro!F218,Comparacao!$G$7:$J$200,3,FALSE)</f>
        <v/>
      </c>
      <c r="I218" s="1" t="str">
        <f>VLOOKUP(Filtro!F218,Comparacao!$G$7:$J$200,4,FALSE)</f>
        <v/>
      </c>
    </row>
    <row r="219" spans="1:9" x14ac:dyDescent="0.25">
      <c r="A219" s="3" t="str">
        <f t="array" ref="A219">IFERROR(INDEX(Comparacao!$A$7:$A$200,SMALL(IF(Comparacao!$E$7:$E$200=$A$2,ROW(Comparacao!$A$7:$A$200)),ROW(215:215))-4,1),"")</f>
        <v/>
      </c>
      <c r="B219" s="3" t="str">
        <f>IFERROR(VLOOKUP(A219,Lista1[],2,FALSE),"")</f>
        <v/>
      </c>
      <c r="C219" s="1" t="str">
        <f>VLOOKUP(Filtro!A219,Comparacao!$A$7:$D$200,3,FALSE)</f>
        <v/>
      </c>
      <c r="D219" s="1" t="str">
        <f>VLOOKUP(Filtro!A219,Comparacao!$A$7:$D$200,4,FALSE)</f>
        <v/>
      </c>
      <c r="F219" t="str">
        <f t="array" ref="F219">IFERROR(INDEX(Comparacao!$G$7:$G$200,SMALL(IF(Comparacao!$K$7:$K$200=$A$2,ROW(Comparacao!$G$7:$G$200)),ROW(215:215))-4,1),"")</f>
        <v/>
      </c>
      <c r="G219" t="str">
        <f>IFERROR(VLOOKUP(F219,Lista2[],2,FALSE),"")</f>
        <v/>
      </c>
      <c r="H219" s="1" t="str">
        <f>VLOOKUP(Filtro!F219,Comparacao!$G$7:$J$200,3,FALSE)</f>
        <v/>
      </c>
      <c r="I219" s="1" t="str">
        <f>VLOOKUP(Filtro!F219,Comparacao!$G$7:$J$200,4,FALSE)</f>
        <v/>
      </c>
    </row>
    <row r="220" spans="1:9" x14ac:dyDescent="0.25">
      <c r="A220" s="3" t="str">
        <f t="array" ref="A220">IFERROR(INDEX(Comparacao!$A$7:$A$200,SMALL(IF(Comparacao!$E$7:$E$200=$A$2,ROW(Comparacao!$A$7:$A$200)),ROW(216:216))-4,1),"")</f>
        <v/>
      </c>
      <c r="B220" s="3" t="str">
        <f>IFERROR(VLOOKUP(A220,Lista1[],2,FALSE),"")</f>
        <v/>
      </c>
      <c r="C220" s="1" t="str">
        <f>VLOOKUP(Filtro!A220,Comparacao!$A$7:$D$200,3,FALSE)</f>
        <v/>
      </c>
      <c r="D220" s="1" t="str">
        <f>VLOOKUP(Filtro!A220,Comparacao!$A$7:$D$200,4,FALSE)</f>
        <v/>
      </c>
      <c r="F220" t="str">
        <f t="array" ref="F220">IFERROR(INDEX(Comparacao!$G$7:$G$200,SMALL(IF(Comparacao!$K$7:$K$200=$A$2,ROW(Comparacao!$G$7:$G$200)),ROW(216:216))-4,1),"")</f>
        <v/>
      </c>
      <c r="G220" t="str">
        <f>IFERROR(VLOOKUP(F220,Lista2[],2,FALSE),"")</f>
        <v/>
      </c>
      <c r="H220" s="1" t="str">
        <f>VLOOKUP(Filtro!F220,Comparacao!$G$7:$J$200,3,FALSE)</f>
        <v/>
      </c>
      <c r="I220" s="1" t="str">
        <f>VLOOKUP(Filtro!F220,Comparacao!$G$7:$J$200,4,FALSE)</f>
        <v/>
      </c>
    </row>
    <row r="221" spans="1:9" x14ac:dyDescent="0.25">
      <c r="A221" s="3" t="str">
        <f t="array" ref="A221">IFERROR(INDEX(Comparacao!$A$7:$A$200,SMALL(IF(Comparacao!$E$7:$E$200=$A$2,ROW(Comparacao!$A$7:$A$200)),ROW(217:217))-4,1),"")</f>
        <v/>
      </c>
      <c r="B221" s="3" t="str">
        <f>IFERROR(VLOOKUP(A221,Lista1[],2,FALSE),"")</f>
        <v/>
      </c>
      <c r="C221" s="1" t="str">
        <f>VLOOKUP(Filtro!A221,Comparacao!$A$7:$D$200,3,FALSE)</f>
        <v/>
      </c>
      <c r="D221" s="1" t="str">
        <f>VLOOKUP(Filtro!A221,Comparacao!$A$7:$D$200,4,FALSE)</f>
        <v/>
      </c>
      <c r="F221" t="str">
        <f t="array" ref="F221">IFERROR(INDEX(Comparacao!$G$7:$G$200,SMALL(IF(Comparacao!$K$7:$K$200=$A$2,ROW(Comparacao!$G$7:$G$200)),ROW(217:217))-4,1),"")</f>
        <v/>
      </c>
      <c r="G221" t="str">
        <f>IFERROR(VLOOKUP(F221,Lista2[],2,FALSE),"")</f>
        <v/>
      </c>
      <c r="H221" s="1" t="str">
        <f>VLOOKUP(Filtro!F221,Comparacao!$G$7:$J$200,3,FALSE)</f>
        <v/>
      </c>
      <c r="I221" s="1" t="str">
        <f>VLOOKUP(Filtro!F221,Comparacao!$G$7:$J$200,4,FALSE)</f>
        <v/>
      </c>
    </row>
    <row r="222" spans="1:9" x14ac:dyDescent="0.25">
      <c r="A222" s="3" t="str">
        <f t="array" ref="A222">IFERROR(INDEX(Comparacao!$A$7:$A$200,SMALL(IF(Comparacao!$E$7:$E$200=$A$2,ROW(Comparacao!$A$7:$A$200)),ROW(218:218))-4,1),"")</f>
        <v/>
      </c>
      <c r="B222" s="3" t="str">
        <f>IFERROR(VLOOKUP(A222,Lista1[],2,FALSE),"")</f>
        <v/>
      </c>
      <c r="C222" s="1" t="str">
        <f>VLOOKUP(Filtro!A222,Comparacao!$A$7:$D$200,3,FALSE)</f>
        <v/>
      </c>
      <c r="D222" s="1" t="str">
        <f>VLOOKUP(Filtro!A222,Comparacao!$A$7:$D$200,4,FALSE)</f>
        <v/>
      </c>
      <c r="F222" t="str">
        <f t="array" ref="F222">IFERROR(INDEX(Comparacao!$G$7:$G$200,SMALL(IF(Comparacao!$K$7:$K$200=$A$2,ROW(Comparacao!$G$7:$G$200)),ROW(218:218))-4,1),"")</f>
        <v/>
      </c>
      <c r="G222" t="str">
        <f>IFERROR(VLOOKUP(F222,Lista2[],2,FALSE),"")</f>
        <v/>
      </c>
      <c r="H222" s="1" t="str">
        <f>VLOOKUP(Filtro!F222,Comparacao!$G$7:$J$200,3,FALSE)</f>
        <v/>
      </c>
      <c r="I222" s="1" t="str">
        <f>VLOOKUP(Filtro!F222,Comparacao!$G$7:$J$200,4,FALSE)</f>
        <v/>
      </c>
    </row>
    <row r="223" spans="1:9" x14ac:dyDescent="0.25">
      <c r="A223" s="3" t="str">
        <f t="array" ref="A223">IFERROR(INDEX(Comparacao!$A$7:$A$200,SMALL(IF(Comparacao!$E$7:$E$200=$A$2,ROW(Comparacao!$A$7:$A$200)),ROW(219:219))-4,1),"")</f>
        <v/>
      </c>
      <c r="B223" s="3" t="str">
        <f>IFERROR(VLOOKUP(A223,Lista1[],2,FALSE),"")</f>
        <v/>
      </c>
      <c r="C223" s="1" t="str">
        <f>VLOOKUP(Filtro!A223,Comparacao!$A$7:$D$200,3,FALSE)</f>
        <v/>
      </c>
      <c r="D223" s="1" t="str">
        <f>VLOOKUP(Filtro!A223,Comparacao!$A$7:$D$200,4,FALSE)</f>
        <v/>
      </c>
      <c r="F223" t="str">
        <f t="array" ref="F223">IFERROR(INDEX(Comparacao!$G$7:$G$200,SMALL(IF(Comparacao!$K$7:$K$200=$A$2,ROW(Comparacao!$G$7:$G$200)),ROW(219:219))-4,1),"")</f>
        <v/>
      </c>
      <c r="G223" t="str">
        <f>IFERROR(VLOOKUP(F223,Lista2[],2,FALSE),"")</f>
        <v/>
      </c>
      <c r="H223" s="1" t="str">
        <f>VLOOKUP(Filtro!F223,Comparacao!$G$7:$J$200,3,FALSE)</f>
        <v/>
      </c>
      <c r="I223" s="1" t="str">
        <f>VLOOKUP(Filtro!F223,Comparacao!$G$7:$J$200,4,FALSE)</f>
        <v/>
      </c>
    </row>
    <row r="224" spans="1:9" x14ac:dyDescent="0.25">
      <c r="A224" s="3" t="str">
        <f t="array" ref="A224">IFERROR(INDEX(Comparacao!$A$7:$A$200,SMALL(IF(Comparacao!$E$7:$E$200=$A$2,ROW(Comparacao!$A$7:$A$200)),ROW(220:220))-4,1),"")</f>
        <v/>
      </c>
      <c r="B224" s="3" t="str">
        <f>IFERROR(VLOOKUP(A224,Lista1[],2,FALSE),"")</f>
        <v/>
      </c>
      <c r="C224" s="1" t="str">
        <f>VLOOKUP(Filtro!A224,Comparacao!$A$7:$D$200,3,FALSE)</f>
        <v/>
      </c>
      <c r="D224" s="1" t="str">
        <f>VLOOKUP(Filtro!A224,Comparacao!$A$7:$D$200,4,FALSE)</f>
        <v/>
      </c>
      <c r="F224" t="str">
        <f t="array" ref="F224">IFERROR(INDEX(Comparacao!$G$7:$G$200,SMALL(IF(Comparacao!$K$7:$K$200=$A$2,ROW(Comparacao!$G$7:$G$200)),ROW(220:220))-4,1),"")</f>
        <v/>
      </c>
      <c r="G224" t="str">
        <f>IFERROR(VLOOKUP(F224,Lista2[],2,FALSE),"")</f>
        <v/>
      </c>
      <c r="H224" s="1" t="str">
        <f>VLOOKUP(Filtro!F224,Comparacao!$G$7:$J$200,3,FALSE)</f>
        <v/>
      </c>
      <c r="I224" s="1" t="str">
        <f>VLOOKUP(Filtro!F224,Comparacao!$G$7:$J$200,4,FALSE)</f>
        <v/>
      </c>
    </row>
    <row r="225" spans="1:9" x14ac:dyDescent="0.25">
      <c r="A225" s="3" t="str">
        <f t="array" ref="A225">IFERROR(INDEX(Comparacao!$A$7:$A$200,SMALL(IF(Comparacao!$E$7:$E$200=$A$2,ROW(Comparacao!$A$7:$A$200)),ROW(221:221))-4,1),"")</f>
        <v/>
      </c>
      <c r="B225" s="3" t="str">
        <f>IFERROR(VLOOKUP(A225,Lista1[],2,FALSE),"")</f>
        <v/>
      </c>
      <c r="C225" s="1" t="str">
        <f>VLOOKUP(Filtro!A225,Comparacao!$A$7:$D$200,3,FALSE)</f>
        <v/>
      </c>
      <c r="D225" s="1" t="str">
        <f>VLOOKUP(Filtro!A225,Comparacao!$A$7:$D$200,4,FALSE)</f>
        <v/>
      </c>
      <c r="F225" t="str">
        <f t="array" ref="F225">IFERROR(INDEX(Comparacao!$G$7:$G$200,SMALL(IF(Comparacao!$K$7:$K$200=$A$2,ROW(Comparacao!$G$7:$G$200)),ROW(221:221))-4,1),"")</f>
        <v/>
      </c>
      <c r="G225" t="str">
        <f>IFERROR(VLOOKUP(F225,Lista2[],2,FALSE),"")</f>
        <v/>
      </c>
      <c r="H225" s="1" t="str">
        <f>VLOOKUP(Filtro!F225,Comparacao!$G$7:$J$200,3,FALSE)</f>
        <v/>
      </c>
      <c r="I225" s="1" t="str">
        <f>VLOOKUP(Filtro!F225,Comparacao!$G$7:$J$200,4,FALSE)</f>
        <v/>
      </c>
    </row>
    <row r="226" spans="1:9" x14ac:dyDescent="0.25">
      <c r="A226" s="3" t="str">
        <f t="array" ref="A226">IFERROR(INDEX(Comparacao!$A$7:$A$200,SMALL(IF(Comparacao!$E$7:$E$200=$A$2,ROW(Comparacao!$A$7:$A$200)),ROW(222:222))-4,1),"")</f>
        <v/>
      </c>
      <c r="B226" s="3" t="str">
        <f>IFERROR(VLOOKUP(A226,Lista1[],2,FALSE),"")</f>
        <v/>
      </c>
      <c r="C226" s="1" t="str">
        <f>VLOOKUP(Filtro!A226,Comparacao!$A$7:$D$200,3,FALSE)</f>
        <v/>
      </c>
      <c r="D226" s="1" t="str">
        <f>VLOOKUP(Filtro!A226,Comparacao!$A$7:$D$200,4,FALSE)</f>
        <v/>
      </c>
      <c r="F226" t="str">
        <f t="array" ref="F226">IFERROR(INDEX(Comparacao!$G$7:$G$200,SMALL(IF(Comparacao!$K$7:$K$200=$A$2,ROW(Comparacao!$G$7:$G$200)),ROW(222:222))-4,1),"")</f>
        <v/>
      </c>
      <c r="G226" t="str">
        <f>IFERROR(VLOOKUP(F226,Lista2[],2,FALSE),"")</f>
        <v/>
      </c>
      <c r="H226" s="1" t="str">
        <f>VLOOKUP(Filtro!F226,Comparacao!$G$7:$J$200,3,FALSE)</f>
        <v/>
      </c>
      <c r="I226" s="1" t="str">
        <f>VLOOKUP(Filtro!F226,Comparacao!$G$7:$J$200,4,FALSE)</f>
        <v/>
      </c>
    </row>
    <row r="227" spans="1:9" x14ac:dyDescent="0.25">
      <c r="A227" s="3" t="str">
        <f t="array" ref="A227">IFERROR(INDEX(Comparacao!$A$7:$A$200,SMALL(IF(Comparacao!$E$7:$E$200=$A$2,ROW(Comparacao!$A$7:$A$200)),ROW(223:223))-4,1),"")</f>
        <v/>
      </c>
      <c r="B227" s="3" t="str">
        <f>IFERROR(VLOOKUP(A227,Lista1[],2,FALSE),"")</f>
        <v/>
      </c>
      <c r="C227" s="1" t="str">
        <f>VLOOKUP(Filtro!A227,Comparacao!$A$7:$D$200,3,FALSE)</f>
        <v/>
      </c>
      <c r="D227" s="1" t="str">
        <f>VLOOKUP(Filtro!A227,Comparacao!$A$7:$D$200,4,FALSE)</f>
        <v/>
      </c>
      <c r="F227" t="str">
        <f t="array" ref="F227">IFERROR(INDEX(Comparacao!$G$7:$G$200,SMALL(IF(Comparacao!$K$7:$K$200=$A$2,ROW(Comparacao!$G$7:$G$200)),ROW(223:223))-4,1),"")</f>
        <v/>
      </c>
      <c r="G227" t="str">
        <f>IFERROR(VLOOKUP(F227,Lista2[],2,FALSE),"")</f>
        <v/>
      </c>
      <c r="H227" s="1" t="str">
        <f>VLOOKUP(Filtro!F227,Comparacao!$G$7:$J$200,3,FALSE)</f>
        <v/>
      </c>
      <c r="I227" s="1" t="str">
        <f>VLOOKUP(Filtro!F227,Comparacao!$G$7:$J$200,4,FALSE)</f>
        <v/>
      </c>
    </row>
    <row r="228" spans="1:9" x14ac:dyDescent="0.25">
      <c r="A228" s="3" t="str">
        <f t="array" ref="A228">IFERROR(INDEX(Comparacao!$A$7:$A$200,SMALL(IF(Comparacao!$E$7:$E$200=$A$2,ROW(Comparacao!$A$7:$A$200)),ROW(224:224))-4,1),"")</f>
        <v/>
      </c>
      <c r="B228" s="3" t="str">
        <f>IFERROR(VLOOKUP(A228,Lista1[],2,FALSE),"")</f>
        <v/>
      </c>
      <c r="C228" s="1" t="str">
        <f>VLOOKUP(Filtro!A228,Comparacao!$A$7:$D$200,3,FALSE)</f>
        <v/>
      </c>
      <c r="D228" s="1" t="str">
        <f>VLOOKUP(Filtro!A228,Comparacao!$A$7:$D$200,4,FALSE)</f>
        <v/>
      </c>
      <c r="F228" t="str">
        <f t="array" ref="F228">IFERROR(INDEX(Comparacao!$G$7:$G$200,SMALL(IF(Comparacao!$K$7:$K$200=$A$2,ROW(Comparacao!$G$7:$G$200)),ROW(224:224))-4,1),"")</f>
        <v/>
      </c>
      <c r="G228" t="str">
        <f>IFERROR(VLOOKUP(F228,Lista2[],2,FALSE),"")</f>
        <v/>
      </c>
      <c r="H228" s="1" t="str">
        <f>VLOOKUP(Filtro!F228,Comparacao!$G$7:$J$200,3,FALSE)</f>
        <v/>
      </c>
      <c r="I228" s="1" t="str">
        <f>VLOOKUP(Filtro!F228,Comparacao!$G$7:$J$200,4,FALSE)</f>
        <v/>
      </c>
    </row>
    <row r="229" spans="1:9" x14ac:dyDescent="0.25">
      <c r="A229" s="3" t="str">
        <f t="array" ref="A229">IFERROR(INDEX(Comparacao!$A$7:$A$200,SMALL(IF(Comparacao!$E$7:$E$200=$A$2,ROW(Comparacao!$A$7:$A$200)),ROW(225:225))-4,1),"")</f>
        <v/>
      </c>
      <c r="B229" s="3" t="str">
        <f>IFERROR(VLOOKUP(A229,Lista1[],2,FALSE),"")</f>
        <v/>
      </c>
      <c r="C229" s="1" t="str">
        <f>VLOOKUP(Filtro!A229,Comparacao!$A$7:$D$200,3,FALSE)</f>
        <v/>
      </c>
      <c r="D229" s="1" t="str">
        <f>VLOOKUP(Filtro!A229,Comparacao!$A$7:$D$200,4,FALSE)</f>
        <v/>
      </c>
      <c r="F229" t="str">
        <f t="array" ref="F229">IFERROR(INDEX(Comparacao!$G$7:$G$200,SMALL(IF(Comparacao!$K$7:$K$200=$A$2,ROW(Comparacao!$G$7:$G$200)),ROW(225:225))-4,1),"")</f>
        <v/>
      </c>
      <c r="G229" t="str">
        <f>IFERROR(VLOOKUP(F229,Lista2[],2,FALSE),"")</f>
        <v/>
      </c>
      <c r="H229" s="1" t="str">
        <f>VLOOKUP(Filtro!F229,Comparacao!$G$7:$J$200,3,FALSE)</f>
        <v/>
      </c>
      <c r="I229" s="1" t="str">
        <f>VLOOKUP(Filtro!F229,Comparacao!$G$7:$J$200,4,FALSE)</f>
        <v/>
      </c>
    </row>
    <row r="230" spans="1:9" x14ac:dyDescent="0.25">
      <c r="A230" s="3" t="str">
        <f t="array" ref="A230">IFERROR(INDEX(Comparacao!$A$7:$A$200,SMALL(IF(Comparacao!$E$7:$E$200=$A$2,ROW(Comparacao!$A$7:$A$200)),ROW(226:226))-4,1),"")</f>
        <v/>
      </c>
      <c r="B230" s="3" t="str">
        <f>IFERROR(VLOOKUP(A230,Lista1[],2,FALSE),"")</f>
        <v/>
      </c>
      <c r="C230" s="1" t="str">
        <f>VLOOKUP(Filtro!A230,Comparacao!$A$7:$D$200,3,FALSE)</f>
        <v/>
      </c>
      <c r="D230" s="1" t="str">
        <f>VLOOKUP(Filtro!A230,Comparacao!$A$7:$D$200,4,FALSE)</f>
        <v/>
      </c>
      <c r="F230" t="str">
        <f t="array" ref="F230">IFERROR(INDEX(Comparacao!$G$7:$G$200,SMALL(IF(Comparacao!$K$7:$K$200=$A$2,ROW(Comparacao!$G$7:$G$200)),ROW(226:226))-4,1),"")</f>
        <v/>
      </c>
      <c r="G230" t="str">
        <f>IFERROR(VLOOKUP(F230,Lista2[],2,FALSE),"")</f>
        <v/>
      </c>
      <c r="H230" s="1" t="str">
        <f>VLOOKUP(Filtro!F230,Comparacao!$G$7:$J$200,3,FALSE)</f>
        <v/>
      </c>
      <c r="I230" s="1" t="str">
        <f>VLOOKUP(Filtro!F230,Comparacao!$G$7:$J$200,4,FALSE)</f>
        <v/>
      </c>
    </row>
    <row r="231" spans="1:9" x14ac:dyDescent="0.25">
      <c r="A231" s="3" t="str">
        <f t="array" ref="A231">IFERROR(INDEX(Comparacao!$A$7:$A$200,SMALL(IF(Comparacao!$E$7:$E$200=$A$2,ROW(Comparacao!$A$7:$A$200)),ROW(227:227))-4,1),"")</f>
        <v/>
      </c>
      <c r="B231" s="3" t="str">
        <f>IFERROR(VLOOKUP(A231,Lista1[],2,FALSE),"")</f>
        <v/>
      </c>
      <c r="C231" s="1" t="str">
        <f>VLOOKUP(Filtro!A231,Comparacao!$A$7:$D$200,3,FALSE)</f>
        <v/>
      </c>
      <c r="D231" s="1" t="str">
        <f>VLOOKUP(Filtro!A231,Comparacao!$A$7:$D$200,4,FALSE)</f>
        <v/>
      </c>
      <c r="F231" t="str">
        <f t="array" ref="F231">IFERROR(INDEX(Comparacao!$G$7:$G$200,SMALL(IF(Comparacao!$K$7:$K$200=$A$2,ROW(Comparacao!$G$7:$G$200)),ROW(227:227))-4,1),"")</f>
        <v/>
      </c>
      <c r="G231" t="str">
        <f>IFERROR(VLOOKUP(F231,Lista2[],2,FALSE),"")</f>
        <v/>
      </c>
      <c r="H231" s="1" t="str">
        <f>VLOOKUP(Filtro!F231,Comparacao!$G$7:$J$200,3,FALSE)</f>
        <v/>
      </c>
      <c r="I231" s="1" t="str">
        <f>VLOOKUP(Filtro!F231,Comparacao!$G$7:$J$200,4,FALSE)</f>
        <v/>
      </c>
    </row>
    <row r="232" spans="1:9" x14ac:dyDescent="0.25">
      <c r="A232" s="3" t="str">
        <f t="array" ref="A232">IFERROR(INDEX(Comparacao!$A$7:$A$200,SMALL(IF(Comparacao!$E$7:$E$200=$A$2,ROW(Comparacao!$A$7:$A$200)),ROW(228:228))-4,1),"")</f>
        <v/>
      </c>
      <c r="B232" s="3" t="str">
        <f>IFERROR(VLOOKUP(A232,Lista1[],2,FALSE),"")</f>
        <v/>
      </c>
      <c r="C232" s="1" t="str">
        <f>VLOOKUP(Filtro!A232,Comparacao!$A$7:$D$200,3,FALSE)</f>
        <v/>
      </c>
      <c r="D232" s="1" t="str">
        <f>VLOOKUP(Filtro!A232,Comparacao!$A$7:$D$200,4,FALSE)</f>
        <v/>
      </c>
      <c r="F232" t="str">
        <f t="array" ref="F232">IFERROR(INDEX(Comparacao!$G$7:$G$200,SMALL(IF(Comparacao!$K$7:$K$200=$A$2,ROW(Comparacao!$G$7:$G$200)),ROW(228:228))-4,1),"")</f>
        <v/>
      </c>
      <c r="G232" t="str">
        <f>IFERROR(VLOOKUP(F232,Lista2[],2,FALSE),"")</f>
        <v/>
      </c>
      <c r="H232" s="1" t="str">
        <f>VLOOKUP(Filtro!F232,Comparacao!$G$7:$J$200,3,FALSE)</f>
        <v/>
      </c>
      <c r="I232" s="1" t="str">
        <f>VLOOKUP(Filtro!F232,Comparacao!$G$7:$J$200,4,FALSE)</f>
        <v/>
      </c>
    </row>
    <row r="233" spans="1:9" x14ac:dyDescent="0.25">
      <c r="A233" s="3" t="str">
        <f t="array" ref="A233">IFERROR(INDEX(Comparacao!$A$7:$A$200,SMALL(IF(Comparacao!$E$7:$E$200=$A$2,ROW(Comparacao!$A$7:$A$200)),ROW(229:229))-4,1),"")</f>
        <v/>
      </c>
      <c r="B233" s="3" t="str">
        <f>IFERROR(VLOOKUP(A233,Lista1[],2,FALSE),"")</f>
        <v/>
      </c>
      <c r="C233" s="1" t="str">
        <f>VLOOKUP(Filtro!A233,Comparacao!$A$7:$D$200,3,FALSE)</f>
        <v/>
      </c>
      <c r="D233" s="1" t="str">
        <f>VLOOKUP(Filtro!A233,Comparacao!$A$7:$D$200,4,FALSE)</f>
        <v/>
      </c>
      <c r="F233" t="str">
        <f t="array" ref="F233">IFERROR(INDEX(Comparacao!$G$7:$G$200,SMALL(IF(Comparacao!$K$7:$K$200=$A$2,ROW(Comparacao!$G$7:$G$200)),ROW(229:229))-4,1),"")</f>
        <v/>
      </c>
      <c r="G233" t="str">
        <f>IFERROR(VLOOKUP(F233,Lista2[],2,FALSE),"")</f>
        <v/>
      </c>
      <c r="H233" s="1" t="str">
        <f>VLOOKUP(Filtro!F233,Comparacao!$G$7:$J$200,3,FALSE)</f>
        <v/>
      </c>
      <c r="I233" s="1" t="str">
        <f>VLOOKUP(Filtro!F233,Comparacao!$G$7:$J$200,4,FALSE)</f>
        <v/>
      </c>
    </row>
    <row r="234" spans="1:9" x14ac:dyDescent="0.25">
      <c r="A234" s="3" t="str">
        <f t="array" ref="A234">IFERROR(INDEX(Comparacao!$A$7:$A$200,SMALL(IF(Comparacao!$E$7:$E$200=$A$2,ROW(Comparacao!$A$7:$A$200)),ROW(230:230))-4,1),"")</f>
        <v/>
      </c>
      <c r="B234" s="3" t="str">
        <f>IFERROR(VLOOKUP(A234,Lista1[],2,FALSE),"")</f>
        <v/>
      </c>
      <c r="C234" s="1" t="str">
        <f>VLOOKUP(Filtro!A234,Comparacao!$A$7:$D$200,3,FALSE)</f>
        <v/>
      </c>
      <c r="D234" s="1" t="str">
        <f>VLOOKUP(Filtro!A234,Comparacao!$A$7:$D$200,4,FALSE)</f>
        <v/>
      </c>
      <c r="F234" t="str">
        <f t="array" ref="F234">IFERROR(INDEX(Comparacao!$G$7:$G$200,SMALL(IF(Comparacao!$K$7:$K$200=$A$2,ROW(Comparacao!$G$7:$G$200)),ROW(230:230))-4,1),"")</f>
        <v/>
      </c>
      <c r="G234" t="str">
        <f>IFERROR(VLOOKUP(F234,Lista2[],2,FALSE),"")</f>
        <v/>
      </c>
      <c r="H234" s="1" t="str">
        <f>VLOOKUP(Filtro!F234,Comparacao!$G$7:$J$200,3,FALSE)</f>
        <v/>
      </c>
      <c r="I234" s="1" t="str">
        <f>VLOOKUP(Filtro!F234,Comparacao!$G$7:$J$200,4,FALSE)</f>
        <v/>
      </c>
    </row>
    <row r="235" spans="1:9" x14ac:dyDescent="0.25">
      <c r="A235" s="3" t="str">
        <f t="array" ref="A235">IFERROR(INDEX(Comparacao!$A$7:$A$200,SMALL(IF(Comparacao!$E$7:$E$200=$A$2,ROW(Comparacao!$A$7:$A$200)),ROW(231:231))-4,1),"")</f>
        <v/>
      </c>
      <c r="B235" s="3" t="str">
        <f>IFERROR(VLOOKUP(A235,Lista1[],2,FALSE),"")</f>
        <v/>
      </c>
      <c r="C235" s="1" t="str">
        <f>VLOOKUP(Filtro!A235,Comparacao!$A$7:$D$200,3,FALSE)</f>
        <v/>
      </c>
      <c r="D235" s="1" t="str">
        <f>VLOOKUP(Filtro!A235,Comparacao!$A$7:$D$200,4,FALSE)</f>
        <v/>
      </c>
      <c r="F235" t="str">
        <f t="array" ref="F235">IFERROR(INDEX(Comparacao!$G$7:$G$200,SMALL(IF(Comparacao!$K$7:$K$200=$A$2,ROW(Comparacao!$G$7:$G$200)),ROW(231:231))-4,1),"")</f>
        <v/>
      </c>
      <c r="G235" t="str">
        <f>IFERROR(VLOOKUP(F235,Lista2[],2,FALSE),"")</f>
        <v/>
      </c>
      <c r="H235" s="1" t="str">
        <f>VLOOKUP(Filtro!F235,Comparacao!$G$7:$J$200,3,FALSE)</f>
        <v/>
      </c>
      <c r="I235" s="1" t="str">
        <f>VLOOKUP(Filtro!F235,Comparacao!$G$7:$J$200,4,FALSE)</f>
        <v/>
      </c>
    </row>
    <row r="236" spans="1:9" x14ac:dyDescent="0.25">
      <c r="A236" s="3" t="str">
        <f t="array" ref="A236">IFERROR(INDEX(Comparacao!$A$7:$A$200,SMALL(IF(Comparacao!$E$7:$E$200=$A$2,ROW(Comparacao!$A$7:$A$200)),ROW(232:232))-4,1),"")</f>
        <v/>
      </c>
      <c r="B236" s="3" t="str">
        <f>IFERROR(VLOOKUP(A236,Lista1[],2,FALSE),"")</f>
        <v/>
      </c>
      <c r="C236" s="1" t="str">
        <f>VLOOKUP(Filtro!A236,Comparacao!$A$7:$D$200,3,FALSE)</f>
        <v/>
      </c>
      <c r="D236" s="1" t="str">
        <f>VLOOKUP(Filtro!A236,Comparacao!$A$7:$D$200,4,FALSE)</f>
        <v/>
      </c>
      <c r="F236" t="str">
        <f t="array" ref="F236">IFERROR(INDEX(Comparacao!$G$7:$G$200,SMALL(IF(Comparacao!$K$7:$K$200=$A$2,ROW(Comparacao!$G$7:$G$200)),ROW(232:232))-4,1),"")</f>
        <v/>
      </c>
      <c r="G236" t="str">
        <f>IFERROR(VLOOKUP(F236,Lista2[],2,FALSE),"")</f>
        <v/>
      </c>
      <c r="H236" s="1" t="str">
        <f>VLOOKUP(Filtro!F236,Comparacao!$G$7:$J$200,3,FALSE)</f>
        <v/>
      </c>
      <c r="I236" s="1" t="str">
        <f>VLOOKUP(Filtro!F236,Comparacao!$G$7:$J$200,4,FALSE)</f>
        <v/>
      </c>
    </row>
    <row r="237" spans="1:9" x14ac:dyDescent="0.25">
      <c r="A237" s="3" t="str">
        <f t="array" ref="A237">IFERROR(INDEX(Comparacao!$A$7:$A$200,SMALL(IF(Comparacao!$E$7:$E$200=$A$2,ROW(Comparacao!$A$7:$A$200)),ROW(233:233))-4,1),"")</f>
        <v/>
      </c>
      <c r="B237" s="3" t="str">
        <f>IFERROR(VLOOKUP(A237,Lista1[],2,FALSE),"")</f>
        <v/>
      </c>
      <c r="C237" s="1" t="str">
        <f>VLOOKUP(Filtro!A237,Comparacao!$A$7:$D$200,3,FALSE)</f>
        <v/>
      </c>
      <c r="D237" s="1" t="str">
        <f>VLOOKUP(Filtro!A237,Comparacao!$A$7:$D$200,4,FALSE)</f>
        <v/>
      </c>
      <c r="F237" t="str">
        <f t="array" ref="F237">IFERROR(INDEX(Comparacao!$G$7:$G$200,SMALL(IF(Comparacao!$K$7:$K$200=$A$2,ROW(Comparacao!$G$7:$G$200)),ROW(233:233))-4,1),"")</f>
        <v/>
      </c>
      <c r="G237" t="str">
        <f>IFERROR(VLOOKUP(F237,Lista2[],2,FALSE),"")</f>
        <v/>
      </c>
      <c r="H237" s="1" t="str">
        <f>VLOOKUP(Filtro!F237,Comparacao!$G$7:$J$200,3,FALSE)</f>
        <v/>
      </c>
      <c r="I237" s="1" t="str">
        <f>VLOOKUP(Filtro!F237,Comparacao!$G$7:$J$200,4,FALSE)</f>
        <v/>
      </c>
    </row>
    <row r="238" spans="1:9" x14ac:dyDescent="0.25">
      <c r="A238" s="3" t="str">
        <f t="array" ref="A238">IFERROR(INDEX(Comparacao!$A$7:$A$200,SMALL(IF(Comparacao!$E$7:$E$200=$A$2,ROW(Comparacao!$A$7:$A$200)),ROW(234:234))-4,1),"")</f>
        <v/>
      </c>
      <c r="B238" s="3" t="str">
        <f>IFERROR(VLOOKUP(A238,Lista1[],2,FALSE),"")</f>
        <v/>
      </c>
      <c r="C238" s="1" t="str">
        <f>VLOOKUP(Filtro!A238,Comparacao!$A$7:$D$200,3,FALSE)</f>
        <v/>
      </c>
      <c r="D238" s="1" t="str">
        <f>VLOOKUP(Filtro!A238,Comparacao!$A$7:$D$200,4,FALSE)</f>
        <v/>
      </c>
      <c r="F238" t="str">
        <f t="array" ref="F238">IFERROR(INDEX(Comparacao!$G$7:$G$200,SMALL(IF(Comparacao!$K$7:$K$200=$A$2,ROW(Comparacao!$G$7:$G$200)),ROW(234:234))-4,1),"")</f>
        <v/>
      </c>
      <c r="G238" t="str">
        <f>IFERROR(VLOOKUP(F238,Lista2[],2,FALSE),"")</f>
        <v/>
      </c>
      <c r="H238" s="1" t="str">
        <f>VLOOKUP(Filtro!F238,Comparacao!$G$7:$J$200,3,FALSE)</f>
        <v/>
      </c>
      <c r="I238" s="1" t="str">
        <f>VLOOKUP(Filtro!F238,Comparacao!$G$7:$J$200,4,FALSE)</f>
        <v/>
      </c>
    </row>
    <row r="239" spans="1:9" x14ac:dyDescent="0.25">
      <c r="A239" s="3" t="str">
        <f t="array" ref="A239">IFERROR(INDEX(Comparacao!$A$7:$A$200,SMALL(IF(Comparacao!$E$7:$E$200=$A$2,ROW(Comparacao!$A$7:$A$200)),ROW(235:235))-4,1),"")</f>
        <v/>
      </c>
      <c r="B239" s="3" t="str">
        <f>IFERROR(VLOOKUP(A239,Lista1[],2,FALSE),"")</f>
        <v/>
      </c>
      <c r="C239" s="1" t="str">
        <f>VLOOKUP(Filtro!A239,Comparacao!$A$7:$D$200,3,FALSE)</f>
        <v/>
      </c>
      <c r="D239" s="1" t="str">
        <f>VLOOKUP(Filtro!A239,Comparacao!$A$7:$D$200,4,FALSE)</f>
        <v/>
      </c>
      <c r="F239" t="str">
        <f t="array" ref="F239">IFERROR(INDEX(Comparacao!$G$7:$G$200,SMALL(IF(Comparacao!$K$7:$K$200=$A$2,ROW(Comparacao!$G$7:$G$200)),ROW(235:235))-4,1),"")</f>
        <v/>
      </c>
      <c r="G239" t="str">
        <f>IFERROR(VLOOKUP(F239,Lista2[],2,FALSE),"")</f>
        <v/>
      </c>
      <c r="H239" s="1" t="str">
        <f>VLOOKUP(Filtro!F239,Comparacao!$G$7:$J$200,3,FALSE)</f>
        <v/>
      </c>
      <c r="I239" s="1" t="str">
        <f>VLOOKUP(Filtro!F239,Comparacao!$G$7:$J$200,4,FALSE)</f>
        <v/>
      </c>
    </row>
    <row r="240" spans="1:9" x14ac:dyDescent="0.25">
      <c r="A240" s="3" t="str">
        <f t="array" ref="A240">IFERROR(INDEX(Comparacao!$A$7:$A$200,SMALL(IF(Comparacao!$E$7:$E$200=$A$2,ROW(Comparacao!$A$7:$A$200)),ROW(236:236))-4,1),"")</f>
        <v/>
      </c>
      <c r="B240" s="3" t="str">
        <f>IFERROR(VLOOKUP(A240,Lista1[],2,FALSE),"")</f>
        <v/>
      </c>
      <c r="C240" s="1" t="str">
        <f>VLOOKUP(Filtro!A240,Comparacao!$A$7:$D$200,3,FALSE)</f>
        <v/>
      </c>
      <c r="D240" s="1" t="str">
        <f>VLOOKUP(Filtro!A240,Comparacao!$A$7:$D$200,4,FALSE)</f>
        <v/>
      </c>
      <c r="F240" t="str">
        <f t="array" ref="F240">IFERROR(INDEX(Comparacao!$G$7:$G$200,SMALL(IF(Comparacao!$K$7:$K$200=$A$2,ROW(Comparacao!$G$7:$G$200)),ROW(236:236))-4,1),"")</f>
        <v/>
      </c>
      <c r="G240" t="str">
        <f>IFERROR(VLOOKUP(F240,Lista2[],2,FALSE),"")</f>
        <v/>
      </c>
      <c r="H240" s="1" t="str">
        <f>VLOOKUP(Filtro!F240,Comparacao!$G$7:$J$200,3,FALSE)</f>
        <v/>
      </c>
      <c r="I240" s="1" t="str">
        <f>VLOOKUP(Filtro!F240,Comparacao!$G$7:$J$200,4,FALSE)</f>
        <v/>
      </c>
    </row>
    <row r="241" spans="1:9" x14ac:dyDescent="0.25">
      <c r="A241" s="3" t="str">
        <f t="array" ref="A241">IFERROR(INDEX(Comparacao!$A$7:$A$200,SMALL(IF(Comparacao!$E$7:$E$200=$A$2,ROW(Comparacao!$A$7:$A$200)),ROW(237:237))-4,1),"")</f>
        <v/>
      </c>
      <c r="B241" s="3" t="str">
        <f>IFERROR(VLOOKUP(A241,Lista1[],2,FALSE),"")</f>
        <v/>
      </c>
      <c r="C241" s="1" t="str">
        <f>VLOOKUP(Filtro!A241,Comparacao!$A$7:$D$200,3,FALSE)</f>
        <v/>
      </c>
      <c r="D241" s="1" t="str">
        <f>VLOOKUP(Filtro!A241,Comparacao!$A$7:$D$200,4,FALSE)</f>
        <v/>
      </c>
      <c r="F241" t="str">
        <f t="array" ref="F241">IFERROR(INDEX(Comparacao!$G$7:$G$200,SMALL(IF(Comparacao!$K$7:$K$200=$A$2,ROW(Comparacao!$G$7:$G$200)),ROW(237:237))-4,1),"")</f>
        <v/>
      </c>
      <c r="G241" t="str">
        <f>IFERROR(VLOOKUP(F241,Lista2[],2,FALSE),"")</f>
        <v/>
      </c>
      <c r="H241" s="1" t="str">
        <f>VLOOKUP(Filtro!F241,Comparacao!$G$7:$J$200,3,FALSE)</f>
        <v/>
      </c>
      <c r="I241" s="1" t="str">
        <f>VLOOKUP(Filtro!F241,Comparacao!$G$7:$J$200,4,FALSE)</f>
        <v/>
      </c>
    </row>
    <row r="242" spans="1:9" x14ac:dyDescent="0.25">
      <c r="A242" s="3" t="str">
        <f t="array" ref="A242">IFERROR(INDEX(Comparacao!$A$7:$A$200,SMALL(IF(Comparacao!$E$7:$E$200=$A$2,ROW(Comparacao!$A$7:$A$200)),ROW(238:238))-4,1),"")</f>
        <v/>
      </c>
      <c r="B242" s="3" t="str">
        <f>IFERROR(VLOOKUP(A242,Lista1[],2,FALSE),"")</f>
        <v/>
      </c>
      <c r="C242" s="1" t="str">
        <f>VLOOKUP(Filtro!A242,Comparacao!$A$7:$D$200,3,FALSE)</f>
        <v/>
      </c>
      <c r="D242" s="1" t="str">
        <f>VLOOKUP(Filtro!A242,Comparacao!$A$7:$D$200,4,FALSE)</f>
        <v/>
      </c>
      <c r="F242" t="str">
        <f t="array" ref="F242">IFERROR(INDEX(Comparacao!$G$7:$G$200,SMALL(IF(Comparacao!$K$7:$K$200=$A$2,ROW(Comparacao!$G$7:$G$200)),ROW(238:238))-4,1),"")</f>
        <v/>
      </c>
      <c r="G242" t="str">
        <f>IFERROR(VLOOKUP(F242,Lista2[],2,FALSE),"")</f>
        <v/>
      </c>
      <c r="H242" s="1" t="str">
        <f>VLOOKUP(Filtro!F242,Comparacao!$G$7:$J$200,3,FALSE)</f>
        <v/>
      </c>
      <c r="I242" s="1" t="str">
        <f>VLOOKUP(Filtro!F242,Comparacao!$G$7:$J$200,4,FALSE)</f>
        <v/>
      </c>
    </row>
    <row r="243" spans="1:9" x14ac:dyDescent="0.25">
      <c r="A243" s="3" t="str">
        <f t="array" ref="A243">IFERROR(INDEX(Comparacao!$A$7:$A$200,SMALL(IF(Comparacao!$E$7:$E$200=$A$2,ROW(Comparacao!$A$7:$A$200)),ROW(239:239))-4,1),"")</f>
        <v/>
      </c>
      <c r="B243" s="3" t="str">
        <f>IFERROR(VLOOKUP(A243,Lista1[],2,FALSE),"")</f>
        <v/>
      </c>
      <c r="C243" s="1" t="str">
        <f>VLOOKUP(Filtro!A243,Comparacao!$A$7:$D$200,3,FALSE)</f>
        <v/>
      </c>
      <c r="D243" s="1" t="str">
        <f>VLOOKUP(Filtro!A243,Comparacao!$A$7:$D$200,4,FALSE)</f>
        <v/>
      </c>
      <c r="F243" t="str">
        <f t="array" ref="F243">IFERROR(INDEX(Comparacao!$G$7:$G$200,SMALL(IF(Comparacao!$K$7:$K$200=$A$2,ROW(Comparacao!$G$7:$G$200)),ROW(239:239))-4,1),"")</f>
        <v/>
      </c>
      <c r="G243" t="str">
        <f>IFERROR(VLOOKUP(F243,Lista2[],2,FALSE),"")</f>
        <v/>
      </c>
      <c r="H243" s="1" t="str">
        <f>VLOOKUP(Filtro!F243,Comparacao!$G$7:$J$200,3,FALSE)</f>
        <v/>
      </c>
      <c r="I243" s="1" t="str">
        <f>VLOOKUP(Filtro!F243,Comparacao!$G$7:$J$200,4,FALSE)</f>
        <v/>
      </c>
    </row>
    <row r="244" spans="1:9" x14ac:dyDescent="0.25">
      <c r="A244" s="3" t="str">
        <f t="array" ref="A244">IFERROR(INDEX(Comparacao!$A$7:$A$200,SMALL(IF(Comparacao!$E$7:$E$200=$A$2,ROW(Comparacao!$A$7:$A$200)),ROW(240:240))-4,1),"")</f>
        <v/>
      </c>
      <c r="B244" s="3" t="str">
        <f>IFERROR(VLOOKUP(A244,Lista1[],2,FALSE),"")</f>
        <v/>
      </c>
      <c r="C244" s="1" t="str">
        <f>VLOOKUP(Filtro!A244,Comparacao!$A$7:$D$200,3,FALSE)</f>
        <v/>
      </c>
      <c r="D244" s="1" t="str">
        <f>VLOOKUP(Filtro!A244,Comparacao!$A$7:$D$200,4,FALSE)</f>
        <v/>
      </c>
      <c r="F244" t="str">
        <f t="array" ref="F244">IFERROR(INDEX(Comparacao!$G$7:$G$200,SMALL(IF(Comparacao!$K$7:$K$200=$A$2,ROW(Comparacao!$G$7:$G$200)),ROW(240:240))-4,1),"")</f>
        <v/>
      </c>
      <c r="G244" t="str">
        <f>IFERROR(VLOOKUP(F244,Lista2[],2,FALSE),"")</f>
        <v/>
      </c>
      <c r="H244" s="1" t="str">
        <f>VLOOKUP(Filtro!F244,Comparacao!$G$7:$J$200,3,FALSE)</f>
        <v/>
      </c>
      <c r="I244" s="1" t="str">
        <f>VLOOKUP(Filtro!F244,Comparacao!$G$7:$J$200,4,FALSE)</f>
        <v/>
      </c>
    </row>
    <row r="245" spans="1:9" x14ac:dyDescent="0.25">
      <c r="A245" s="3" t="str">
        <f t="array" ref="A245">IFERROR(INDEX(Comparacao!$A$7:$A$200,SMALL(IF(Comparacao!$E$7:$E$200=$A$2,ROW(Comparacao!$A$7:$A$200)),ROW(241:241))-4,1),"")</f>
        <v/>
      </c>
      <c r="B245" s="3" t="str">
        <f>IFERROR(VLOOKUP(A245,Lista1[],2,FALSE),"")</f>
        <v/>
      </c>
      <c r="C245" s="1" t="str">
        <f>VLOOKUP(Filtro!A245,Comparacao!$A$7:$D$200,3,FALSE)</f>
        <v/>
      </c>
      <c r="D245" s="1" t="str">
        <f>VLOOKUP(Filtro!A245,Comparacao!$A$7:$D$200,4,FALSE)</f>
        <v/>
      </c>
      <c r="F245" t="str">
        <f t="array" ref="F245">IFERROR(INDEX(Comparacao!$G$7:$G$200,SMALL(IF(Comparacao!$K$7:$K$200=$A$2,ROW(Comparacao!$G$7:$G$200)),ROW(241:241))-4,1),"")</f>
        <v/>
      </c>
      <c r="G245" t="str">
        <f>IFERROR(VLOOKUP(F245,Lista2[],2,FALSE),"")</f>
        <v/>
      </c>
      <c r="H245" s="1" t="str">
        <f>VLOOKUP(Filtro!F245,Comparacao!$G$7:$J$200,3,FALSE)</f>
        <v/>
      </c>
      <c r="I245" s="1" t="str">
        <f>VLOOKUP(Filtro!F245,Comparacao!$G$7:$J$200,4,FALSE)</f>
        <v/>
      </c>
    </row>
    <row r="246" spans="1:9" x14ac:dyDescent="0.25">
      <c r="A246" s="3" t="str">
        <f t="array" ref="A246">IFERROR(INDEX(Comparacao!$A$7:$A$200,SMALL(IF(Comparacao!$E$7:$E$200=$A$2,ROW(Comparacao!$A$7:$A$200)),ROW(242:242))-4,1),"")</f>
        <v/>
      </c>
      <c r="B246" s="3" t="str">
        <f>IFERROR(VLOOKUP(A246,Lista1[],2,FALSE),"")</f>
        <v/>
      </c>
      <c r="C246" s="1" t="str">
        <f>VLOOKUP(Filtro!A246,Comparacao!$A$7:$D$200,3,FALSE)</f>
        <v/>
      </c>
      <c r="D246" s="1" t="str">
        <f>VLOOKUP(Filtro!A246,Comparacao!$A$7:$D$200,4,FALSE)</f>
        <v/>
      </c>
      <c r="F246" t="str">
        <f t="array" ref="F246">IFERROR(INDEX(Comparacao!$G$7:$G$200,SMALL(IF(Comparacao!$K$7:$K$200=$A$2,ROW(Comparacao!$G$7:$G$200)),ROW(242:242))-4,1),"")</f>
        <v/>
      </c>
      <c r="G246" t="str">
        <f>IFERROR(VLOOKUP(F246,Lista2[],2,FALSE),"")</f>
        <v/>
      </c>
      <c r="H246" s="1" t="str">
        <f>VLOOKUP(Filtro!F246,Comparacao!$G$7:$J$200,3,FALSE)</f>
        <v/>
      </c>
      <c r="I246" s="1" t="str">
        <f>VLOOKUP(Filtro!F246,Comparacao!$G$7:$J$200,4,FALSE)</f>
        <v/>
      </c>
    </row>
    <row r="247" spans="1:9" x14ac:dyDescent="0.25">
      <c r="A247" s="3" t="str">
        <f t="array" ref="A247">IFERROR(INDEX(Comparacao!$A$7:$A$200,SMALL(IF(Comparacao!$E$7:$E$200=$A$2,ROW(Comparacao!$A$7:$A$200)),ROW(243:243))-4,1),"")</f>
        <v/>
      </c>
      <c r="B247" s="3" t="str">
        <f>IFERROR(VLOOKUP(A247,Lista1[],2,FALSE),"")</f>
        <v/>
      </c>
      <c r="C247" s="1" t="str">
        <f>VLOOKUP(Filtro!A247,Comparacao!$A$7:$D$200,3,FALSE)</f>
        <v/>
      </c>
      <c r="D247" s="1" t="str">
        <f>VLOOKUP(Filtro!A247,Comparacao!$A$7:$D$200,4,FALSE)</f>
        <v/>
      </c>
      <c r="F247" t="str">
        <f t="array" ref="F247">IFERROR(INDEX(Comparacao!$G$7:$G$200,SMALL(IF(Comparacao!$K$7:$K$200=$A$2,ROW(Comparacao!$G$7:$G$200)),ROW(243:243))-4,1),"")</f>
        <v/>
      </c>
      <c r="G247" t="str">
        <f>IFERROR(VLOOKUP(F247,Lista2[],2,FALSE),"")</f>
        <v/>
      </c>
      <c r="H247" s="1" t="str">
        <f>VLOOKUP(Filtro!F247,Comparacao!$G$7:$J$200,3,FALSE)</f>
        <v/>
      </c>
      <c r="I247" s="1" t="str">
        <f>VLOOKUP(Filtro!F247,Comparacao!$G$7:$J$200,4,FALSE)</f>
        <v/>
      </c>
    </row>
    <row r="248" spans="1:9" x14ac:dyDescent="0.25">
      <c r="A248" s="3" t="str">
        <f t="array" ref="A248">IFERROR(INDEX(Comparacao!$A$7:$A$200,SMALL(IF(Comparacao!$E$7:$E$200=$A$2,ROW(Comparacao!$A$7:$A$200)),ROW(244:244))-4,1),"")</f>
        <v/>
      </c>
      <c r="B248" s="3" t="str">
        <f>IFERROR(VLOOKUP(A248,Lista1[],2,FALSE),"")</f>
        <v/>
      </c>
      <c r="C248" s="1" t="str">
        <f>VLOOKUP(Filtro!A248,Comparacao!$A$7:$D$200,3,FALSE)</f>
        <v/>
      </c>
      <c r="D248" s="1" t="str">
        <f>VLOOKUP(Filtro!A248,Comparacao!$A$7:$D$200,4,FALSE)</f>
        <v/>
      </c>
      <c r="F248" t="str">
        <f t="array" ref="F248">IFERROR(INDEX(Comparacao!$G$7:$G$200,SMALL(IF(Comparacao!$K$7:$K$200=$A$2,ROW(Comparacao!$G$7:$G$200)),ROW(244:244))-4,1),"")</f>
        <v/>
      </c>
      <c r="G248" t="str">
        <f>IFERROR(VLOOKUP(F248,Lista2[],2,FALSE),"")</f>
        <v/>
      </c>
      <c r="H248" s="1" t="str">
        <f>VLOOKUP(Filtro!F248,Comparacao!$G$7:$J$200,3,FALSE)</f>
        <v/>
      </c>
      <c r="I248" s="1" t="str">
        <f>VLOOKUP(Filtro!F248,Comparacao!$G$7:$J$200,4,FALSE)</f>
        <v/>
      </c>
    </row>
    <row r="249" spans="1:9" x14ac:dyDescent="0.25">
      <c r="A249" s="3" t="str">
        <f t="array" ref="A249">IFERROR(INDEX(Comparacao!$A$7:$A$200,SMALL(IF(Comparacao!$E$7:$E$200=$A$2,ROW(Comparacao!$A$7:$A$200)),ROW(245:245))-4,1),"")</f>
        <v/>
      </c>
      <c r="B249" s="3" t="str">
        <f>IFERROR(VLOOKUP(A249,Lista1[],2,FALSE),"")</f>
        <v/>
      </c>
      <c r="C249" s="1" t="str">
        <f>VLOOKUP(Filtro!A249,Comparacao!$A$7:$D$200,3,FALSE)</f>
        <v/>
      </c>
      <c r="D249" s="1" t="str">
        <f>VLOOKUP(Filtro!A249,Comparacao!$A$7:$D$200,4,FALSE)</f>
        <v/>
      </c>
      <c r="F249" t="str">
        <f t="array" ref="F249">IFERROR(INDEX(Comparacao!$G$7:$G$200,SMALL(IF(Comparacao!$K$7:$K$200=$A$2,ROW(Comparacao!$G$7:$G$200)),ROW(245:245))-4,1),"")</f>
        <v/>
      </c>
      <c r="G249" t="str">
        <f>IFERROR(VLOOKUP(F249,Lista2[],2,FALSE),"")</f>
        <v/>
      </c>
      <c r="H249" s="1" t="str">
        <f>VLOOKUP(Filtro!F249,Comparacao!$G$7:$J$200,3,FALSE)</f>
        <v/>
      </c>
      <c r="I249" s="1" t="str">
        <f>VLOOKUP(Filtro!F249,Comparacao!$G$7:$J$200,4,FALSE)</f>
        <v/>
      </c>
    </row>
    <row r="250" spans="1:9" x14ac:dyDescent="0.25">
      <c r="A250" s="3" t="str">
        <f t="array" ref="A250">IFERROR(INDEX(Comparacao!$A$7:$A$200,SMALL(IF(Comparacao!$E$7:$E$200=$A$2,ROW(Comparacao!$A$7:$A$200)),ROW(246:246))-4,1),"")</f>
        <v/>
      </c>
      <c r="B250" s="3" t="str">
        <f>IFERROR(VLOOKUP(A250,Lista1[],2,FALSE),"")</f>
        <v/>
      </c>
      <c r="C250" s="1" t="str">
        <f>VLOOKUP(Filtro!A250,Comparacao!$A$7:$D$200,3,FALSE)</f>
        <v/>
      </c>
      <c r="D250" s="1" t="str">
        <f>VLOOKUP(Filtro!A250,Comparacao!$A$7:$D$200,4,FALSE)</f>
        <v/>
      </c>
      <c r="F250" t="str">
        <f t="array" ref="F250">IFERROR(INDEX(Comparacao!$G$7:$G$200,SMALL(IF(Comparacao!$K$7:$K$200=$A$2,ROW(Comparacao!$G$7:$G$200)),ROW(246:246))-4,1),"")</f>
        <v/>
      </c>
      <c r="G250" t="str">
        <f>IFERROR(VLOOKUP(F250,Lista2[],2,FALSE),"")</f>
        <v/>
      </c>
      <c r="H250" s="1" t="str">
        <f>VLOOKUP(Filtro!F250,Comparacao!$G$7:$J$200,3,FALSE)</f>
        <v/>
      </c>
      <c r="I250" s="1" t="str">
        <f>VLOOKUP(Filtro!F250,Comparacao!$G$7:$J$200,4,FALSE)</f>
        <v/>
      </c>
    </row>
    <row r="251" spans="1:9" x14ac:dyDescent="0.25">
      <c r="A251" s="3" t="str">
        <f t="array" ref="A251">IFERROR(INDEX(Comparacao!$A$7:$A$200,SMALL(IF(Comparacao!$E$7:$E$200=$A$2,ROW(Comparacao!$A$7:$A$200)),ROW(247:247))-4,1),"")</f>
        <v/>
      </c>
      <c r="B251" s="3" t="str">
        <f>IFERROR(VLOOKUP(A251,Lista1[],2,FALSE),"")</f>
        <v/>
      </c>
      <c r="C251" s="1" t="str">
        <f>VLOOKUP(Filtro!A251,Comparacao!$A$7:$D$200,3,FALSE)</f>
        <v/>
      </c>
      <c r="D251" s="1" t="str">
        <f>VLOOKUP(Filtro!A251,Comparacao!$A$7:$D$200,4,FALSE)</f>
        <v/>
      </c>
      <c r="F251" t="str">
        <f t="array" ref="F251">IFERROR(INDEX(Comparacao!$G$7:$G$200,SMALL(IF(Comparacao!$K$7:$K$200=$A$2,ROW(Comparacao!$G$7:$G$200)),ROW(247:247))-4,1),"")</f>
        <v/>
      </c>
      <c r="G251" t="str">
        <f>IFERROR(VLOOKUP(F251,Lista2[],2,FALSE),"")</f>
        <v/>
      </c>
      <c r="H251" s="1" t="str">
        <f>VLOOKUP(Filtro!F251,Comparacao!$G$7:$J$200,3,FALSE)</f>
        <v/>
      </c>
      <c r="I251" s="1" t="str">
        <f>VLOOKUP(Filtro!F251,Comparacao!$G$7:$J$200,4,FALSE)</f>
        <v/>
      </c>
    </row>
    <row r="252" spans="1:9" x14ac:dyDescent="0.25">
      <c r="A252" s="3" t="str">
        <f t="array" ref="A252">IFERROR(INDEX(Comparacao!$A$7:$A$200,SMALL(IF(Comparacao!$E$7:$E$200=$A$2,ROW(Comparacao!$A$7:$A$200)),ROW(248:248))-4,1),"")</f>
        <v/>
      </c>
      <c r="B252" s="3" t="str">
        <f>IFERROR(VLOOKUP(A252,Lista1[],2,FALSE),"")</f>
        <v/>
      </c>
      <c r="C252" s="1" t="str">
        <f>VLOOKUP(Filtro!A252,Comparacao!$A$7:$D$200,3,FALSE)</f>
        <v/>
      </c>
      <c r="D252" s="1" t="str">
        <f>VLOOKUP(Filtro!A252,Comparacao!$A$7:$D$200,4,FALSE)</f>
        <v/>
      </c>
      <c r="F252" t="str">
        <f t="array" ref="F252">IFERROR(INDEX(Comparacao!$G$7:$G$200,SMALL(IF(Comparacao!$K$7:$K$200=$A$2,ROW(Comparacao!$G$7:$G$200)),ROW(248:248))-4,1),"")</f>
        <v/>
      </c>
      <c r="G252" t="str">
        <f>IFERROR(VLOOKUP(F252,Lista2[],2,FALSE),"")</f>
        <v/>
      </c>
      <c r="H252" s="1" t="str">
        <f>VLOOKUP(Filtro!F252,Comparacao!$G$7:$J$200,3,FALSE)</f>
        <v/>
      </c>
      <c r="I252" s="1" t="str">
        <f>VLOOKUP(Filtro!F252,Comparacao!$G$7:$J$200,4,FALSE)</f>
        <v/>
      </c>
    </row>
    <row r="253" spans="1:9" x14ac:dyDescent="0.25">
      <c r="A253" s="3" t="str">
        <f t="array" ref="A253">IFERROR(INDEX(Comparacao!$A$7:$A$200,SMALL(IF(Comparacao!$E$7:$E$200=$A$2,ROW(Comparacao!$A$7:$A$200)),ROW(249:249))-4,1),"")</f>
        <v/>
      </c>
      <c r="B253" s="3" t="str">
        <f>IFERROR(VLOOKUP(A253,Lista1[],2,FALSE),"")</f>
        <v/>
      </c>
      <c r="C253" s="1" t="str">
        <f>VLOOKUP(Filtro!A253,Comparacao!$A$7:$D$200,3,FALSE)</f>
        <v/>
      </c>
      <c r="D253" s="1" t="str">
        <f>VLOOKUP(Filtro!A253,Comparacao!$A$7:$D$200,4,FALSE)</f>
        <v/>
      </c>
      <c r="F253" t="str">
        <f t="array" ref="F253">IFERROR(INDEX(Comparacao!$G$7:$G$200,SMALL(IF(Comparacao!$K$7:$K$200=$A$2,ROW(Comparacao!$G$7:$G$200)),ROW(249:249))-4,1),"")</f>
        <v/>
      </c>
      <c r="G253" t="str">
        <f>IFERROR(VLOOKUP(F253,Lista2[],2,FALSE),"")</f>
        <v/>
      </c>
      <c r="H253" s="1" t="str">
        <f>VLOOKUP(Filtro!F253,Comparacao!$G$7:$J$200,3,FALSE)</f>
        <v/>
      </c>
      <c r="I253" s="1" t="str">
        <f>VLOOKUP(Filtro!F253,Comparacao!$G$7:$J$200,4,FALSE)</f>
        <v/>
      </c>
    </row>
    <row r="254" spans="1:9" x14ac:dyDescent="0.25">
      <c r="A254" s="3" t="str">
        <f t="array" ref="A254">IFERROR(INDEX(Comparacao!$A$7:$A$200,SMALL(IF(Comparacao!$E$7:$E$200=$A$2,ROW(Comparacao!$A$7:$A$200)),ROW(250:250))-4,1),"")</f>
        <v/>
      </c>
      <c r="B254" s="3" t="str">
        <f>IFERROR(VLOOKUP(A254,Lista1[],2,FALSE),"")</f>
        <v/>
      </c>
      <c r="C254" s="1" t="str">
        <f>VLOOKUP(Filtro!A254,Comparacao!$A$7:$D$200,3,FALSE)</f>
        <v/>
      </c>
      <c r="D254" s="1" t="str">
        <f>VLOOKUP(Filtro!A254,Comparacao!$A$7:$D$200,4,FALSE)</f>
        <v/>
      </c>
      <c r="F254" t="str">
        <f t="array" ref="F254">IFERROR(INDEX(Comparacao!$G$7:$G$200,SMALL(IF(Comparacao!$K$7:$K$200=$A$2,ROW(Comparacao!$G$7:$G$200)),ROW(250:250))-4,1),"")</f>
        <v/>
      </c>
      <c r="G254" t="str">
        <f>IFERROR(VLOOKUP(F254,Lista2[],2,FALSE),"")</f>
        <v/>
      </c>
      <c r="H254" s="1" t="str">
        <f>VLOOKUP(Filtro!F254,Comparacao!$G$7:$J$200,3,FALSE)</f>
        <v/>
      </c>
      <c r="I254" s="1" t="str">
        <f>VLOOKUP(Filtro!F254,Comparacao!$G$7:$J$200,4,FALSE)</f>
        <v/>
      </c>
    </row>
    <row r="255" spans="1:9" x14ac:dyDescent="0.25">
      <c r="A255" s="3" t="str">
        <f t="array" ref="A255">IFERROR(INDEX(Comparacao!$A$7:$A$200,SMALL(IF(Comparacao!$E$7:$E$200=$A$2,ROW(Comparacao!$A$7:$A$200)),ROW(251:251))-4,1),"")</f>
        <v/>
      </c>
      <c r="B255" s="3" t="str">
        <f>IFERROR(VLOOKUP(A255,Lista1[],2,FALSE),"")</f>
        <v/>
      </c>
      <c r="C255" s="1" t="str">
        <f>VLOOKUP(Filtro!A255,Comparacao!$A$7:$D$200,3,FALSE)</f>
        <v/>
      </c>
      <c r="D255" s="1" t="str">
        <f>VLOOKUP(Filtro!A255,Comparacao!$A$7:$D$200,4,FALSE)</f>
        <v/>
      </c>
      <c r="F255" t="str">
        <f t="array" ref="F255">IFERROR(INDEX(Comparacao!$G$7:$G$200,SMALL(IF(Comparacao!$K$7:$K$200=$A$2,ROW(Comparacao!$G$7:$G$200)),ROW(251:251))-4,1),"")</f>
        <v/>
      </c>
      <c r="G255" t="str">
        <f>IFERROR(VLOOKUP(F255,Lista2[],2,FALSE),"")</f>
        <v/>
      </c>
      <c r="H255" s="1" t="str">
        <f>VLOOKUP(Filtro!F255,Comparacao!$G$7:$J$200,3,FALSE)</f>
        <v/>
      </c>
      <c r="I255" s="1" t="str">
        <f>VLOOKUP(Filtro!F255,Comparacao!$G$7:$J$200,4,FALSE)</f>
        <v/>
      </c>
    </row>
    <row r="256" spans="1:9" x14ac:dyDescent="0.25">
      <c r="A256" s="3" t="str">
        <f t="array" ref="A256">IFERROR(INDEX(Comparacao!$A$7:$A$200,SMALL(IF(Comparacao!$E$7:$E$200=$A$2,ROW(Comparacao!$A$7:$A$200)),ROW(252:252))-4,1),"")</f>
        <v/>
      </c>
      <c r="B256" s="3" t="str">
        <f>IFERROR(VLOOKUP(A256,Lista1[],2,FALSE),"")</f>
        <v/>
      </c>
      <c r="C256" s="1" t="str">
        <f>VLOOKUP(Filtro!A256,Comparacao!$A$7:$D$200,3,FALSE)</f>
        <v/>
      </c>
      <c r="D256" s="1" t="str">
        <f>VLOOKUP(Filtro!A256,Comparacao!$A$7:$D$200,4,FALSE)</f>
        <v/>
      </c>
      <c r="F256" t="str">
        <f t="array" ref="F256">IFERROR(INDEX(Comparacao!$G$7:$G$200,SMALL(IF(Comparacao!$K$7:$K$200=$A$2,ROW(Comparacao!$G$7:$G$200)),ROW(252:252))-4,1),"")</f>
        <v/>
      </c>
      <c r="G256" t="str">
        <f>IFERROR(VLOOKUP(F256,Lista2[],2,FALSE),"")</f>
        <v/>
      </c>
      <c r="H256" s="1" t="str">
        <f>VLOOKUP(Filtro!F256,Comparacao!$G$7:$J$200,3,FALSE)</f>
        <v/>
      </c>
      <c r="I256" s="1" t="str">
        <f>VLOOKUP(Filtro!F256,Comparacao!$G$7:$J$200,4,FALSE)</f>
        <v/>
      </c>
    </row>
    <row r="257" spans="1:9" x14ac:dyDescent="0.25">
      <c r="A257" s="3" t="str">
        <f t="array" ref="A257">IFERROR(INDEX(Comparacao!$A$7:$A$200,SMALL(IF(Comparacao!$E$7:$E$200=$A$2,ROW(Comparacao!$A$7:$A$200)),ROW(253:253))-4,1),"")</f>
        <v/>
      </c>
      <c r="B257" s="3" t="str">
        <f>IFERROR(VLOOKUP(A257,Lista1[],2,FALSE),"")</f>
        <v/>
      </c>
      <c r="C257" s="1" t="str">
        <f>VLOOKUP(Filtro!A257,Comparacao!$A$7:$D$200,3,FALSE)</f>
        <v/>
      </c>
      <c r="D257" s="1" t="str">
        <f>VLOOKUP(Filtro!A257,Comparacao!$A$7:$D$200,4,FALSE)</f>
        <v/>
      </c>
      <c r="F257" t="str">
        <f t="array" ref="F257">IFERROR(INDEX(Comparacao!$G$7:$G$200,SMALL(IF(Comparacao!$K$7:$K$200=$A$2,ROW(Comparacao!$G$7:$G$200)),ROW(253:253))-4,1),"")</f>
        <v/>
      </c>
      <c r="G257" t="str">
        <f>IFERROR(VLOOKUP(F257,Lista2[],2,FALSE),"")</f>
        <v/>
      </c>
      <c r="H257" s="1" t="str">
        <f>VLOOKUP(Filtro!F257,Comparacao!$G$7:$J$200,3,FALSE)</f>
        <v/>
      </c>
      <c r="I257" s="1" t="str">
        <f>VLOOKUP(Filtro!F257,Comparacao!$G$7:$J$200,4,FALSE)</f>
        <v/>
      </c>
    </row>
    <row r="258" spans="1:9" x14ac:dyDescent="0.25">
      <c r="A258" s="3" t="str">
        <f t="array" ref="A258">IFERROR(INDEX(Comparacao!$A$7:$A$200,SMALL(IF(Comparacao!$E$7:$E$200=$A$2,ROW(Comparacao!$A$7:$A$200)),ROW(254:254))-4,1),"")</f>
        <v/>
      </c>
      <c r="B258" s="3" t="str">
        <f>IFERROR(VLOOKUP(A258,Lista1[],2,FALSE),"")</f>
        <v/>
      </c>
      <c r="C258" s="1" t="str">
        <f>VLOOKUP(Filtro!A258,Comparacao!$A$7:$D$200,3,FALSE)</f>
        <v/>
      </c>
      <c r="D258" s="1" t="str">
        <f>VLOOKUP(Filtro!A258,Comparacao!$A$7:$D$200,4,FALSE)</f>
        <v/>
      </c>
      <c r="F258" t="str">
        <f t="array" ref="F258">IFERROR(INDEX(Comparacao!$G$7:$G$200,SMALL(IF(Comparacao!$K$7:$K$200=$A$2,ROW(Comparacao!$G$7:$G$200)),ROW(254:254))-4,1),"")</f>
        <v/>
      </c>
      <c r="G258" t="str">
        <f>IFERROR(VLOOKUP(F258,Lista2[],2,FALSE),"")</f>
        <v/>
      </c>
      <c r="H258" s="1" t="str">
        <f>VLOOKUP(Filtro!F258,Comparacao!$G$7:$J$200,3,FALSE)</f>
        <v/>
      </c>
      <c r="I258" s="1" t="str">
        <f>VLOOKUP(Filtro!F258,Comparacao!$G$7:$J$200,4,FALSE)</f>
        <v/>
      </c>
    </row>
    <row r="259" spans="1:9" x14ac:dyDescent="0.25">
      <c r="A259" s="3" t="str">
        <f t="array" ref="A259">IFERROR(INDEX(Comparacao!$A$7:$A$200,SMALL(IF(Comparacao!$E$7:$E$200=$A$2,ROW(Comparacao!$A$7:$A$200)),ROW(255:255))-4,1),"")</f>
        <v/>
      </c>
      <c r="B259" s="3" t="str">
        <f>IFERROR(VLOOKUP(A259,Lista1[],2,FALSE),"")</f>
        <v/>
      </c>
      <c r="C259" s="1" t="str">
        <f>VLOOKUP(Filtro!A259,Comparacao!$A$7:$D$200,3,FALSE)</f>
        <v/>
      </c>
      <c r="D259" s="1" t="str">
        <f>VLOOKUP(Filtro!A259,Comparacao!$A$7:$D$200,4,FALSE)</f>
        <v/>
      </c>
      <c r="F259" t="str">
        <f t="array" ref="F259">IFERROR(INDEX(Comparacao!$G$7:$G$200,SMALL(IF(Comparacao!$K$7:$K$200=$A$2,ROW(Comparacao!$G$7:$G$200)),ROW(255:255))-4,1),"")</f>
        <v/>
      </c>
      <c r="G259" t="str">
        <f>IFERROR(VLOOKUP(F259,Lista2[],2,FALSE),"")</f>
        <v/>
      </c>
      <c r="H259" s="1" t="str">
        <f>VLOOKUP(Filtro!F259,Comparacao!$G$7:$J$200,3,FALSE)</f>
        <v/>
      </c>
      <c r="I259" s="1" t="str">
        <f>VLOOKUP(Filtro!F259,Comparacao!$G$7:$J$200,4,FALSE)</f>
        <v/>
      </c>
    </row>
    <row r="260" spans="1:9" x14ac:dyDescent="0.25">
      <c r="A260" s="3" t="str">
        <f t="array" ref="A260">IFERROR(INDEX(Comparacao!$A$7:$A$200,SMALL(IF(Comparacao!$E$7:$E$200=$A$2,ROW(Comparacao!$A$7:$A$200)),ROW(256:256))-4,1),"")</f>
        <v/>
      </c>
      <c r="B260" s="3" t="str">
        <f>IFERROR(VLOOKUP(A260,Lista1[],2,FALSE),"")</f>
        <v/>
      </c>
      <c r="C260" s="1" t="str">
        <f>VLOOKUP(Filtro!A260,Comparacao!$A$7:$D$200,3,FALSE)</f>
        <v/>
      </c>
      <c r="D260" s="1" t="str">
        <f>VLOOKUP(Filtro!A260,Comparacao!$A$7:$D$200,4,FALSE)</f>
        <v/>
      </c>
      <c r="F260" t="str">
        <f t="array" ref="F260">IFERROR(INDEX(Comparacao!$G$7:$G$200,SMALL(IF(Comparacao!$K$7:$K$200=$A$2,ROW(Comparacao!$G$7:$G$200)),ROW(256:256))-4,1),"")</f>
        <v/>
      </c>
      <c r="G260" t="str">
        <f>IFERROR(VLOOKUP(F260,Lista2[],2,FALSE),"")</f>
        <v/>
      </c>
      <c r="H260" s="1" t="str">
        <f>VLOOKUP(Filtro!F260,Comparacao!$G$7:$J$200,3,FALSE)</f>
        <v/>
      </c>
      <c r="I260" s="1" t="str">
        <f>VLOOKUP(Filtro!F260,Comparacao!$G$7:$J$200,4,FALSE)</f>
        <v/>
      </c>
    </row>
    <row r="261" spans="1:9" x14ac:dyDescent="0.25">
      <c r="A261" s="3" t="str">
        <f t="array" ref="A261">IFERROR(INDEX(Comparacao!$A$7:$A$200,SMALL(IF(Comparacao!$E$7:$E$200=$A$2,ROW(Comparacao!$A$7:$A$200)),ROW(257:257))-4,1),"")</f>
        <v/>
      </c>
      <c r="B261" s="3" t="str">
        <f>IFERROR(VLOOKUP(A261,Lista1[],2,FALSE),"")</f>
        <v/>
      </c>
      <c r="C261" s="1" t="str">
        <f>VLOOKUP(Filtro!A261,Comparacao!$A$7:$D$200,3,FALSE)</f>
        <v/>
      </c>
      <c r="D261" s="1" t="str">
        <f>VLOOKUP(Filtro!A261,Comparacao!$A$7:$D$200,4,FALSE)</f>
        <v/>
      </c>
      <c r="F261" t="str">
        <f t="array" ref="F261">IFERROR(INDEX(Comparacao!$G$7:$G$200,SMALL(IF(Comparacao!$K$7:$K$200=$A$2,ROW(Comparacao!$G$7:$G$200)),ROW(257:257))-4,1),"")</f>
        <v/>
      </c>
      <c r="G261" t="str">
        <f>IFERROR(VLOOKUP(F261,Lista2[],2,FALSE),"")</f>
        <v/>
      </c>
      <c r="H261" s="1" t="str">
        <f>VLOOKUP(Filtro!F261,Comparacao!$G$7:$J$200,3,FALSE)</f>
        <v/>
      </c>
      <c r="I261" s="1" t="str">
        <f>VLOOKUP(Filtro!F261,Comparacao!$G$7:$J$200,4,FALSE)</f>
        <v/>
      </c>
    </row>
    <row r="262" spans="1:9" x14ac:dyDescent="0.25">
      <c r="A262" s="3" t="str">
        <f t="array" ref="A262">IFERROR(INDEX(Comparacao!$A$7:$A$200,SMALL(IF(Comparacao!$E$7:$E$200=$A$2,ROW(Comparacao!$A$7:$A$200)),ROW(258:258))-4,1),"")</f>
        <v/>
      </c>
      <c r="B262" s="3" t="str">
        <f>IFERROR(VLOOKUP(A262,Lista1[],2,FALSE),"")</f>
        <v/>
      </c>
      <c r="C262" s="1" t="str">
        <f>VLOOKUP(Filtro!A262,Comparacao!$A$7:$D$200,3,FALSE)</f>
        <v/>
      </c>
      <c r="D262" s="1" t="str">
        <f>VLOOKUP(Filtro!A262,Comparacao!$A$7:$D$200,4,FALSE)</f>
        <v/>
      </c>
      <c r="F262" t="str">
        <f t="array" ref="F262">IFERROR(INDEX(Comparacao!$G$7:$G$200,SMALL(IF(Comparacao!$K$7:$K$200=$A$2,ROW(Comparacao!$G$7:$G$200)),ROW(258:258))-4,1),"")</f>
        <v/>
      </c>
      <c r="G262" t="str">
        <f>IFERROR(VLOOKUP(F262,Lista2[],2,FALSE),"")</f>
        <v/>
      </c>
      <c r="H262" s="1" t="str">
        <f>VLOOKUP(Filtro!F262,Comparacao!$G$7:$J$200,3,FALSE)</f>
        <v/>
      </c>
      <c r="I262" s="1" t="str">
        <f>VLOOKUP(Filtro!F262,Comparacao!$G$7:$J$200,4,FALSE)</f>
        <v/>
      </c>
    </row>
    <row r="263" spans="1:9" x14ac:dyDescent="0.25">
      <c r="A263" s="3" t="str">
        <f t="array" ref="A263">IFERROR(INDEX(Comparacao!$A$7:$A$200,SMALL(IF(Comparacao!$E$7:$E$200=$A$2,ROW(Comparacao!$A$7:$A$200)),ROW(259:259))-4,1),"")</f>
        <v/>
      </c>
      <c r="B263" s="3" t="str">
        <f>IFERROR(VLOOKUP(A263,Lista1[],2,FALSE),"")</f>
        <v/>
      </c>
      <c r="C263" s="1" t="str">
        <f>VLOOKUP(Filtro!A263,Comparacao!$A$7:$D$200,3,FALSE)</f>
        <v/>
      </c>
      <c r="D263" s="1" t="str">
        <f>VLOOKUP(Filtro!A263,Comparacao!$A$7:$D$200,4,FALSE)</f>
        <v/>
      </c>
      <c r="F263" t="str">
        <f t="array" ref="F263">IFERROR(INDEX(Comparacao!$G$7:$G$200,SMALL(IF(Comparacao!$K$7:$K$200=$A$2,ROW(Comparacao!$G$7:$G$200)),ROW(259:259))-4,1),"")</f>
        <v/>
      </c>
      <c r="G263" t="str">
        <f>IFERROR(VLOOKUP(F263,Lista2[],2,FALSE),"")</f>
        <v/>
      </c>
      <c r="H263" s="1" t="str">
        <f>VLOOKUP(Filtro!F263,Comparacao!$G$7:$J$200,3,FALSE)</f>
        <v/>
      </c>
      <c r="I263" s="1" t="str">
        <f>VLOOKUP(Filtro!F263,Comparacao!$G$7:$J$200,4,FALSE)</f>
        <v/>
      </c>
    </row>
    <row r="264" spans="1:9" x14ac:dyDescent="0.25">
      <c r="A264" s="3" t="str">
        <f t="array" ref="A264">IFERROR(INDEX(Comparacao!$A$7:$A$200,SMALL(IF(Comparacao!$E$7:$E$200=$A$2,ROW(Comparacao!$A$7:$A$200)),ROW(260:260))-4,1),"")</f>
        <v/>
      </c>
      <c r="B264" s="3" t="str">
        <f>IFERROR(VLOOKUP(A264,Lista1[],2,FALSE),"")</f>
        <v/>
      </c>
      <c r="C264" s="1" t="str">
        <f>VLOOKUP(Filtro!A264,Comparacao!$A$7:$D$200,3,FALSE)</f>
        <v/>
      </c>
      <c r="D264" s="1" t="str">
        <f>VLOOKUP(Filtro!A264,Comparacao!$A$7:$D$200,4,FALSE)</f>
        <v/>
      </c>
      <c r="F264" t="str">
        <f t="array" ref="F264">IFERROR(INDEX(Comparacao!$G$7:$G$200,SMALL(IF(Comparacao!$K$7:$K$200=$A$2,ROW(Comparacao!$G$7:$G$200)),ROW(260:260))-4,1),"")</f>
        <v/>
      </c>
      <c r="G264" t="str">
        <f>IFERROR(VLOOKUP(F264,Lista2[],2,FALSE),"")</f>
        <v/>
      </c>
      <c r="H264" s="1" t="str">
        <f>VLOOKUP(Filtro!F264,Comparacao!$G$7:$J$200,3,FALSE)</f>
        <v/>
      </c>
      <c r="I264" s="1" t="str">
        <f>VLOOKUP(Filtro!F264,Comparacao!$G$7:$J$200,4,FALSE)</f>
        <v/>
      </c>
    </row>
    <row r="265" spans="1:9" x14ac:dyDescent="0.25">
      <c r="A265" s="3" t="str">
        <f t="array" ref="A265">IFERROR(INDEX(Comparacao!$A$7:$A$200,SMALL(IF(Comparacao!$E$7:$E$200=$A$2,ROW(Comparacao!$A$7:$A$200)),ROW(261:261))-4,1),"")</f>
        <v/>
      </c>
      <c r="B265" s="3" t="str">
        <f>IFERROR(VLOOKUP(A265,Lista1[],2,FALSE),"")</f>
        <v/>
      </c>
      <c r="C265" s="1" t="str">
        <f>VLOOKUP(Filtro!A265,Comparacao!$A$7:$D$200,3,FALSE)</f>
        <v/>
      </c>
      <c r="D265" s="1" t="str">
        <f>VLOOKUP(Filtro!A265,Comparacao!$A$7:$D$200,4,FALSE)</f>
        <v/>
      </c>
      <c r="F265" t="str">
        <f t="array" ref="F265">IFERROR(INDEX(Comparacao!$G$7:$G$200,SMALL(IF(Comparacao!$K$7:$K$200=$A$2,ROW(Comparacao!$G$7:$G$200)),ROW(261:261))-4,1),"")</f>
        <v/>
      </c>
      <c r="G265" t="str">
        <f>IFERROR(VLOOKUP(F265,Lista2[],2,FALSE),"")</f>
        <v/>
      </c>
      <c r="H265" s="1" t="str">
        <f>VLOOKUP(Filtro!F265,Comparacao!$G$7:$J$200,3,FALSE)</f>
        <v/>
      </c>
      <c r="I265" s="1" t="str">
        <f>VLOOKUP(Filtro!F265,Comparacao!$G$7:$J$200,4,FALSE)</f>
        <v/>
      </c>
    </row>
    <row r="266" spans="1:9" x14ac:dyDescent="0.25">
      <c r="A266" s="3" t="str">
        <f t="array" ref="A266">IFERROR(INDEX(Comparacao!$A$7:$A$200,SMALL(IF(Comparacao!$E$7:$E$200=$A$2,ROW(Comparacao!$A$7:$A$200)),ROW(262:262))-4,1),"")</f>
        <v/>
      </c>
      <c r="B266" s="3" t="str">
        <f>IFERROR(VLOOKUP(A266,Lista1[],2,FALSE),"")</f>
        <v/>
      </c>
      <c r="C266" s="1" t="str">
        <f>VLOOKUP(Filtro!A266,Comparacao!$A$7:$D$200,3,FALSE)</f>
        <v/>
      </c>
      <c r="D266" s="1" t="str">
        <f>VLOOKUP(Filtro!A266,Comparacao!$A$7:$D$200,4,FALSE)</f>
        <v/>
      </c>
      <c r="F266" t="str">
        <f t="array" ref="F266">IFERROR(INDEX(Comparacao!$G$7:$G$200,SMALL(IF(Comparacao!$K$7:$K$200=$A$2,ROW(Comparacao!$G$7:$G$200)),ROW(262:262))-4,1),"")</f>
        <v/>
      </c>
      <c r="G266" t="str">
        <f>IFERROR(VLOOKUP(F266,Lista2[],2,FALSE),"")</f>
        <v/>
      </c>
      <c r="H266" s="1" t="str">
        <f>VLOOKUP(Filtro!F266,Comparacao!$G$7:$J$200,3,FALSE)</f>
        <v/>
      </c>
      <c r="I266" s="1" t="str">
        <f>VLOOKUP(Filtro!F266,Comparacao!$G$7:$J$200,4,FALSE)</f>
        <v/>
      </c>
    </row>
    <row r="267" spans="1:9" x14ac:dyDescent="0.25">
      <c r="A267" s="3" t="str">
        <f t="array" ref="A267">IFERROR(INDEX(Comparacao!$A$7:$A$200,SMALL(IF(Comparacao!$E$7:$E$200=$A$2,ROW(Comparacao!$A$7:$A$200)),ROW(263:263))-4,1),"")</f>
        <v/>
      </c>
      <c r="B267" s="3" t="str">
        <f>IFERROR(VLOOKUP(A267,Lista1[],2,FALSE),"")</f>
        <v/>
      </c>
      <c r="C267" s="1" t="str">
        <f>VLOOKUP(Filtro!A267,Comparacao!$A$7:$D$200,3,FALSE)</f>
        <v/>
      </c>
      <c r="D267" s="1" t="str">
        <f>VLOOKUP(Filtro!A267,Comparacao!$A$7:$D$200,4,FALSE)</f>
        <v/>
      </c>
      <c r="F267" t="str">
        <f t="array" ref="F267">IFERROR(INDEX(Comparacao!$G$7:$G$200,SMALL(IF(Comparacao!$K$7:$K$200=$A$2,ROW(Comparacao!$G$7:$G$200)),ROW(263:263))-4,1),"")</f>
        <v/>
      </c>
      <c r="G267" t="str">
        <f>IFERROR(VLOOKUP(F267,Lista2[],2,FALSE),"")</f>
        <v/>
      </c>
      <c r="H267" s="1" t="str">
        <f>VLOOKUP(Filtro!F267,Comparacao!$G$7:$J$200,3,FALSE)</f>
        <v/>
      </c>
      <c r="I267" s="1" t="str">
        <f>VLOOKUP(Filtro!F267,Comparacao!$G$7:$J$200,4,FALSE)</f>
        <v/>
      </c>
    </row>
    <row r="268" spans="1:9" x14ac:dyDescent="0.25">
      <c r="A268" s="3" t="str">
        <f t="array" ref="A268">IFERROR(INDEX(Comparacao!$A$7:$A$200,SMALL(IF(Comparacao!$E$7:$E$200=$A$2,ROW(Comparacao!$A$7:$A$200)),ROW(264:264))-4,1),"")</f>
        <v/>
      </c>
      <c r="B268" s="3" t="str">
        <f>IFERROR(VLOOKUP(A268,Lista1[],2,FALSE),"")</f>
        <v/>
      </c>
      <c r="C268" s="1" t="str">
        <f>VLOOKUP(Filtro!A268,Comparacao!$A$7:$D$200,3,FALSE)</f>
        <v/>
      </c>
      <c r="D268" s="1" t="str">
        <f>VLOOKUP(Filtro!A268,Comparacao!$A$7:$D$200,4,FALSE)</f>
        <v/>
      </c>
      <c r="F268" t="str">
        <f t="array" ref="F268">IFERROR(INDEX(Comparacao!$G$7:$G$200,SMALL(IF(Comparacao!$K$7:$K$200=$A$2,ROW(Comparacao!$G$7:$G$200)),ROW(264:264))-4,1),"")</f>
        <v/>
      </c>
      <c r="G268" t="str">
        <f>IFERROR(VLOOKUP(F268,Lista2[],2,FALSE),"")</f>
        <v/>
      </c>
      <c r="H268" s="1" t="str">
        <f>VLOOKUP(Filtro!F268,Comparacao!$G$7:$J$200,3,FALSE)</f>
        <v/>
      </c>
      <c r="I268" s="1" t="str">
        <f>VLOOKUP(Filtro!F268,Comparacao!$G$7:$J$200,4,FALSE)</f>
        <v/>
      </c>
    </row>
    <row r="269" spans="1:9" x14ac:dyDescent="0.25">
      <c r="A269" s="3" t="str">
        <f t="array" ref="A269">IFERROR(INDEX(Comparacao!$A$7:$A$200,SMALL(IF(Comparacao!$E$7:$E$200=$A$2,ROW(Comparacao!$A$7:$A$200)),ROW(265:265))-4,1),"")</f>
        <v/>
      </c>
      <c r="B269" s="3" t="str">
        <f>IFERROR(VLOOKUP(A269,Lista1[],2,FALSE),"")</f>
        <v/>
      </c>
      <c r="C269" s="1" t="str">
        <f>VLOOKUP(Filtro!A269,Comparacao!$A$7:$D$200,3,FALSE)</f>
        <v/>
      </c>
      <c r="D269" s="1" t="str">
        <f>VLOOKUP(Filtro!A269,Comparacao!$A$7:$D$200,4,FALSE)</f>
        <v/>
      </c>
      <c r="F269" t="str">
        <f t="array" ref="F269">IFERROR(INDEX(Comparacao!$G$7:$G$200,SMALL(IF(Comparacao!$K$7:$K$200=$A$2,ROW(Comparacao!$G$7:$G$200)),ROW(265:265))-4,1),"")</f>
        <v/>
      </c>
      <c r="G269" t="str">
        <f>IFERROR(VLOOKUP(F269,Lista2[],2,FALSE),"")</f>
        <v/>
      </c>
      <c r="H269" s="1" t="str">
        <f>VLOOKUP(Filtro!F269,Comparacao!$G$7:$J$200,3,FALSE)</f>
        <v/>
      </c>
      <c r="I269" s="1" t="str">
        <f>VLOOKUP(Filtro!F269,Comparacao!$G$7:$J$200,4,FALSE)</f>
        <v/>
      </c>
    </row>
    <row r="270" spans="1:9" x14ac:dyDescent="0.25">
      <c r="A270" s="3" t="str">
        <f t="array" ref="A270">IFERROR(INDEX(Comparacao!$A$7:$A$200,SMALL(IF(Comparacao!$E$7:$E$200=$A$2,ROW(Comparacao!$A$7:$A$200)),ROW(266:266))-4,1),"")</f>
        <v/>
      </c>
      <c r="B270" s="3" t="str">
        <f>IFERROR(VLOOKUP(A270,Lista1[],2,FALSE),"")</f>
        <v/>
      </c>
      <c r="C270" s="1" t="str">
        <f>VLOOKUP(Filtro!A270,Comparacao!$A$7:$D$200,3,FALSE)</f>
        <v/>
      </c>
      <c r="D270" s="1" t="str">
        <f>VLOOKUP(Filtro!A270,Comparacao!$A$7:$D$200,4,FALSE)</f>
        <v/>
      </c>
      <c r="F270" t="str">
        <f t="array" ref="F270">IFERROR(INDEX(Comparacao!$G$7:$G$200,SMALL(IF(Comparacao!$K$7:$K$200=$A$2,ROW(Comparacao!$G$7:$G$200)),ROW(266:266))-4,1),"")</f>
        <v/>
      </c>
      <c r="G270" t="str">
        <f>IFERROR(VLOOKUP(F270,Lista2[],2,FALSE),"")</f>
        <v/>
      </c>
      <c r="H270" s="1" t="str">
        <f>VLOOKUP(Filtro!F270,Comparacao!$G$7:$J$200,3,FALSE)</f>
        <v/>
      </c>
      <c r="I270" s="1" t="str">
        <f>VLOOKUP(Filtro!F270,Comparacao!$G$7:$J$200,4,FALSE)</f>
        <v/>
      </c>
    </row>
    <row r="271" spans="1:9" x14ac:dyDescent="0.25">
      <c r="A271" s="3" t="str">
        <f t="array" ref="A271">IFERROR(INDEX(Comparacao!$A$7:$A$200,SMALL(IF(Comparacao!$E$7:$E$200=$A$2,ROW(Comparacao!$A$7:$A$200)),ROW(267:267))-4,1),"")</f>
        <v/>
      </c>
      <c r="B271" s="3" t="str">
        <f>IFERROR(VLOOKUP(A271,Lista1[],2,FALSE),"")</f>
        <v/>
      </c>
      <c r="C271" s="1" t="str">
        <f>VLOOKUP(Filtro!A271,Comparacao!$A$7:$D$200,3,FALSE)</f>
        <v/>
      </c>
      <c r="D271" s="1" t="str">
        <f>VLOOKUP(Filtro!A271,Comparacao!$A$7:$D$200,4,FALSE)</f>
        <v/>
      </c>
      <c r="F271" t="str">
        <f t="array" ref="F271">IFERROR(INDEX(Comparacao!$G$7:$G$200,SMALL(IF(Comparacao!$K$7:$K$200=$A$2,ROW(Comparacao!$G$7:$G$200)),ROW(267:267))-4,1),"")</f>
        <v/>
      </c>
      <c r="G271" t="str">
        <f>IFERROR(VLOOKUP(F271,Lista2[],2,FALSE),"")</f>
        <v/>
      </c>
      <c r="H271" s="1" t="str">
        <f>VLOOKUP(Filtro!F271,Comparacao!$G$7:$J$200,3,FALSE)</f>
        <v/>
      </c>
      <c r="I271" s="1" t="str">
        <f>VLOOKUP(Filtro!F271,Comparacao!$G$7:$J$200,4,FALSE)</f>
        <v/>
      </c>
    </row>
    <row r="272" spans="1:9" x14ac:dyDescent="0.25">
      <c r="A272" s="3" t="str">
        <f t="array" ref="A272">IFERROR(INDEX(Comparacao!$A$7:$A$200,SMALL(IF(Comparacao!$E$7:$E$200=$A$2,ROW(Comparacao!$A$7:$A$200)),ROW(268:268))-4,1),"")</f>
        <v/>
      </c>
      <c r="B272" s="3" t="str">
        <f>IFERROR(VLOOKUP(A272,Lista1[],2,FALSE),"")</f>
        <v/>
      </c>
      <c r="C272" s="1" t="str">
        <f>VLOOKUP(Filtro!A272,Comparacao!$A$7:$D$200,3,FALSE)</f>
        <v/>
      </c>
      <c r="D272" s="1" t="str">
        <f>VLOOKUP(Filtro!A272,Comparacao!$A$7:$D$200,4,FALSE)</f>
        <v/>
      </c>
      <c r="F272" t="str">
        <f t="array" ref="F272">IFERROR(INDEX(Comparacao!$G$7:$G$200,SMALL(IF(Comparacao!$K$7:$K$200=$A$2,ROW(Comparacao!$G$7:$G$200)),ROW(268:268))-4,1),"")</f>
        <v/>
      </c>
      <c r="G272" t="str">
        <f>IFERROR(VLOOKUP(F272,Lista2[],2,FALSE),"")</f>
        <v/>
      </c>
      <c r="H272" s="1" t="str">
        <f>VLOOKUP(Filtro!F272,Comparacao!$G$7:$J$200,3,FALSE)</f>
        <v/>
      </c>
      <c r="I272" s="1" t="str">
        <f>VLOOKUP(Filtro!F272,Comparacao!$G$7:$J$200,4,FALSE)</f>
        <v/>
      </c>
    </row>
    <row r="273" spans="1:9" x14ac:dyDescent="0.25">
      <c r="A273" s="3" t="str">
        <f t="array" ref="A273">IFERROR(INDEX(Comparacao!$A$7:$A$200,SMALL(IF(Comparacao!$E$7:$E$200=$A$2,ROW(Comparacao!$A$7:$A$200)),ROW(269:269))-4,1),"")</f>
        <v/>
      </c>
      <c r="B273" s="3" t="str">
        <f>IFERROR(VLOOKUP(A273,Lista1[],2,FALSE),"")</f>
        <v/>
      </c>
      <c r="C273" s="1" t="str">
        <f>VLOOKUP(Filtro!A273,Comparacao!$A$7:$D$200,3,FALSE)</f>
        <v/>
      </c>
      <c r="D273" s="1" t="str">
        <f>VLOOKUP(Filtro!A273,Comparacao!$A$7:$D$200,4,FALSE)</f>
        <v/>
      </c>
      <c r="F273" t="str">
        <f t="array" ref="F273">IFERROR(INDEX(Comparacao!$G$7:$G$200,SMALL(IF(Comparacao!$K$7:$K$200=$A$2,ROW(Comparacao!$G$7:$G$200)),ROW(269:269))-4,1),"")</f>
        <v/>
      </c>
      <c r="G273" t="str">
        <f>IFERROR(VLOOKUP(F273,Lista2[],2,FALSE),"")</f>
        <v/>
      </c>
      <c r="H273" s="1" t="str">
        <f>VLOOKUP(Filtro!F273,Comparacao!$G$7:$J$200,3,FALSE)</f>
        <v/>
      </c>
      <c r="I273" s="1" t="str">
        <f>VLOOKUP(Filtro!F273,Comparacao!$G$7:$J$200,4,FALSE)</f>
        <v/>
      </c>
    </row>
    <row r="274" spans="1:9" x14ac:dyDescent="0.25">
      <c r="A274" s="3" t="str">
        <f t="array" ref="A274">IFERROR(INDEX(Comparacao!$A$7:$A$200,SMALL(IF(Comparacao!$E$7:$E$200=$A$2,ROW(Comparacao!$A$7:$A$200)),ROW(270:270))-4,1),"")</f>
        <v/>
      </c>
      <c r="B274" s="3" t="str">
        <f>IFERROR(VLOOKUP(A274,Lista1[],2,FALSE),"")</f>
        <v/>
      </c>
      <c r="C274" s="1" t="str">
        <f>VLOOKUP(Filtro!A274,Comparacao!$A$7:$D$200,3,FALSE)</f>
        <v/>
      </c>
      <c r="D274" s="1" t="str">
        <f>VLOOKUP(Filtro!A274,Comparacao!$A$7:$D$200,4,FALSE)</f>
        <v/>
      </c>
      <c r="F274" t="str">
        <f t="array" ref="F274">IFERROR(INDEX(Comparacao!$G$7:$G$200,SMALL(IF(Comparacao!$K$7:$K$200=$A$2,ROW(Comparacao!$G$7:$G$200)),ROW(270:270))-4,1),"")</f>
        <v/>
      </c>
      <c r="G274" t="str">
        <f>IFERROR(VLOOKUP(F274,Lista2[],2,FALSE),"")</f>
        <v/>
      </c>
      <c r="H274" s="1" t="str">
        <f>VLOOKUP(Filtro!F274,Comparacao!$G$7:$J$200,3,FALSE)</f>
        <v/>
      </c>
      <c r="I274" s="1" t="str">
        <f>VLOOKUP(Filtro!F274,Comparacao!$G$7:$J$200,4,FALSE)</f>
        <v/>
      </c>
    </row>
    <row r="275" spans="1:9" x14ac:dyDescent="0.25">
      <c r="A275" s="3" t="str">
        <f t="array" ref="A275">IFERROR(INDEX(Comparacao!$A$7:$A$200,SMALL(IF(Comparacao!$E$7:$E$200=$A$2,ROW(Comparacao!$A$7:$A$200)),ROW(271:271))-4,1),"")</f>
        <v/>
      </c>
      <c r="B275" s="3" t="str">
        <f>IFERROR(VLOOKUP(A275,Lista1[],2,FALSE),"")</f>
        <v/>
      </c>
      <c r="C275" s="1" t="str">
        <f>VLOOKUP(Filtro!A275,Comparacao!$A$7:$D$200,3,FALSE)</f>
        <v/>
      </c>
      <c r="D275" s="1" t="str">
        <f>VLOOKUP(Filtro!A275,Comparacao!$A$7:$D$200,4,FALSE)</f>
        <v/>
      </c>
      <c r="F275" t="str">
        <f t="array" ref="F275">IFERROR(INDEX(Comparacao!$G$7:$G$200,SMALL(IF(Comparacao!$K$7:$K$200=$A$2,ROW(Comparacao!$G$7:$G$200)),ROW(271:271))-4,1),"")</f>
        <v/>
      </c>
      <c r="G275" t="str">
        <f>IFERROR(VLOOKUP(F275,Lista2[],2,FALSE),"")</f>
        <v/>
      </c>
      <c r="H275" s="1" t="str">
        <f>VLOOKUP(Filtro!F275,Comparacao!$G$7:$J$200,3,FALSE)</f>
        <v/>
      </c>
      <c r="I275" s="1" t="str">
        <f>VLOOKUP(Filtro!F275,Comparacao!$G$7:$J$200,4,FALSE)</f>
        <v/>
      </c>
    </row>
    <row r="276" spans="1:9" x14ac:dyDescent="0.25">
      <c r="A276" s="3" t="str">
        <f t="array" ref="A276">IFERROR(INDEX(Comparacao!$A$7:$A$200,SMALL(IF(Comparacao!$E$7:$E$200=$A$2,ROW(Comparacao!$A$7:$A$200)),ROW(272:272))-4,1),"")</f>
        <v/>
      </c>
      <c r="B276" s="3" t="str">
        <f>IFERROR(VLOOKUP(A276,Lista1[],2,FALSE),"")</f>
        <v/>
      </c>
      <c r="C276" s="1" t="str">
        <f>VLOOKUP(Filtro!A276,Comparacao!$A$7:$D$200,3,FALSE)</f>
        <v/>
      </c>
      <c r="D276" s="1" t="str">
        <f>VLOOKUP(Filtro!A276,Comparacao!$A$7:$D$200,4,FALSE)</f>
        <v/>
      </c>
      <c r="F276" t="str">
        <f t="array" ref="F276">IFERROR(INDEX(Comparacao!$G$7:$G$200,SMALL(IF(Comparacao!$K$7:$K$200=$A$2,ROW(Comparacao!$G$7:$G$200)),ROW(272:272))-4,1),"")</f>
        <v/>
      </c>
      <c r="G276" t="str">
        <f>IFERROR(VLOOKUP(F276,Lista2[],2,FALSE),"")</f>
        <v/>
      </c>
      <c r="H276" s="1" t="str">
        <f>VLOOKUP(Filtro!F276,Comparacao!$G$7:$J$200,3,FALSE)</f>
        <v/>
      </c>
      <c r="I276" s="1" t="str">
        <f>VLOOKUP(Filtro!F276,Comparacao!$G$7:$J$200,4,FALSE)</f>
        <v/>
      </c>
    </row>
    <row r="277" spans="1:9" x14ac:dyDescent="0.25">
      <c r="A277" s="3" t="str">
        <f t="array" ref="A277">IFERROR(INDEX(Comparacao!$A$7:$A$200,SMALL(IF(Comparacao!$E$7:$E$200=$A$2,ROW(Comparacao!$A$7:$A$200)),ROW(273:273))-4,1),"")</f>
        <v/>
      </c>
      <c r="B277" s="3" t="str">
        <f>IFERROR(VLOOKUP(A277,Lista1[],2,FALSE),"")</f>
        <v/>
      </c>
      <c r="C277" s="1" t="str">
        <f>VLOOKUP(Filtro!A277,Comparacao!$A$7:$D$200,3,FALSE)</f>
        <v/>
      </c>
      <c r="D277" s="1" t="str">
        <f>VLOOKUP(Filtro!A277,Comparacao!$A$7:$D$200,4,FALSE)</f>
        <v/>
      </c>
      <c r="F277" t="str">
        <f t="array" ref="F277">IFERROR(INDEX(Comparacao!$G$7:$G$200,SMALL(IF(Comparacao!$K$7:$K$200=$A$2,ROW(Comparacao!$G$7:$G$200)),ROW(273:273))-4,1),"")</f>
        <v/>
      </c>
      <c r="G277" t="str">
        <f>IFERROR(VLOOKUP(F277,Lista2[],2,FALSE),"")</f>
        <v/>
      </c>
      <c r="H277" s="1" t="str">
        <f>VLOOKUP(Filtro!F277,Comparacao!$G$7:$J$200,3,FALSE)</f>
        <v/>
      </c>
      <c r="I277" s="1" t="str">
        <f>VLOOKUP(Filtro!F277,Comparacao!$G$7:$J$200,4,FALSE)</f>
        <v/>
      </c>
    </row>
    <row r="278" spans="1:9" x14ac:dyDescent="0.25">
      <c r="A278" s="3" t="str">
        <f t="array" ref="A278">IFERROR(INDEX(Comparacao!$A$7:$A$200,SMALL(IF(Comparacao!$E$7:$E$200=$A$2,ROW(Comparacao!$A$7:$A$200)),ROW(274:274))-4,1),"")</f>
        <v/>
      </c>
      <c r="B278" s="3" t="str">
        <f>IFERROR(VLOOKUP(A278,Lista1[],2,FALSE),"")</f>
        <v/>
      </c>
      <c r="C278" s="1" t="str">
        <f>VLOOKUP(Filtro!A278,Comparacao!$A$7:$D$200,3,FALSE)</f>
        <v/>
      </c>
      <c r="D278" s="1" t="str">
        <f>VLOOKUP(Filtro!A278,Comparacao!$A$7:$D$200,4,FALSE)</f>
        <v/>
      </c>
      <c r="F278" t="str">
        <f t="array" ref="F278">IFERROR(INDEX(Comparacao!$G$7:$G$200,SMALL(IF(Comparacao!$K$7:$K$200=$A$2,ROW(Comparacao!$G$7:$G$200)),ROW(274:274))-4,1),"")</f>
        <v/>
      </c>
      <c r="G278" t="str">
        <f>IFERROR(VLOOKUP(F278,Lista2[],2,FALSE),"")</f>
        <v/>
      </c>
      <c r="H278" s="1" t="str">
        <f>VLOOKUP(Filtro!F278,Comparacao!$G$7:$J$200,3,FALSE)</f>
        <v/>
      </c>
      <c r="I278" s="1" t="str">
        <f>VLOOKUP(Filtro!F278,Comparacao!$G$7:$J$200,4,FALSE)</f>
        <v/>
      </c>
    </row>
    <row r="279" spans="1:9" x14ac:dyDescent="0.25">
      <c r="A279" s="3" t="str">
        <f t="array" ref="A279">IFERROR(INDEX(Comparacao!$A$7:$A$200,SMALL(IF(Comparacao!$E$7:$E$200=$A$2,ROW(Comparacao!$A$7:$A$200)),ROW(275:275))-4,1),"")</f>
        <v/>
      </c>
      <c r="B279" s="3" t="str">
        <f>IFERROR(VLOOKUP(A279,Lista1[],2,FALSE),"")</f>
        <v/>
      </c>
      <c r="C279" s="1" t="str">
        <f>VLOOKUP(Filtro!A279,Comparacao!$A$7:$D$200,3,FALSE)</f>
        <v/>
      </c>
      <c r="D279" s="1" t="str">
        <f>VLOOKUP(Filtro!A279,Comparacao!$A$7:$D$200,4,FALSE)</f>
        <v/>
      </c>
      <c r="F279" t="str">
        <f t="array" ref="F279">IFERROR(INDEX(Comparacao!$G$7:$G$200,SMALL(IF(Comparacao!$K$7:$K$200=$A$2,ROW(Comparacao!$G$7:$G$200)),ROW(275:275))-4,1),"")</f>
        <v/>
      </c>
      <c r="G279" t="str">
        <f>IFERROR(VLOOKUP(F279,Lista2[],2,FALSE),"")</f>
        <v/>
      </c>
      <c r="H279" s="1" t="str">
        <f>VLOOKUP(Filtro!F279,Comparacao!$G$7:$J$200,3,FALSE)</f>
        <v/>
      </c>
      <c r="I279" s="1" t="str">
        <f>VLOOKUP(Filtro!F279,Comparacao!$G$7:$J$200,4,FALSE)</f>
        <v/>
      </c>
    </row>
    <row r="280" spans="1:9" x14ac:dyDescent="0.25">
      <c r="A280" s="3" t="str">
        <f t="array" ref="A280">IFERROR(INDEX(Comparacao!$A$7:$A$200,SMALL(IF(Comparacao!$E$7:$E$200=$A$2,ROW(Comparacao!$A$7:$A$200)),ROW(276:276))-4,1),"")</f>
        <v/>
      </c>
      <c r="B280" s="3" t="str">
        <f>IFERROR(VLOOKUP(A280,Lista1[],2,FALSE),"")</f>
        <v/>
      </c>
      <c r="C280" s="1" t="str">
        <f>VLOOKUP(Filtro!A280,Comparacao!$A$7:$D$200,3,FALSE)</f>
        <v/>
      </c>
      <c r="D280" s="1" t="str">
        <f>VLOOKUP(Filtro!A280,Comparacao!$A$7:$D$200,4,FALSE)</f>
        <v/>
      </c>
      <c r="F280" t="str">
        <f t="array" ref="F280">IFERROR(INDEX(Comparacao!$G$7:$G$200,SMALL(IF(Comparacao!$K$7:$K$200=$A$2,ROW(Comparacao!$G$7:$G$200)),ROW(276:276))-4,1),"")</f>
        <v/>
      </c>
      <c r="G280" t="str">
        <f>IFERROR(VLOOKUP(F280,Lista2[],2,FALSE),"")</f>
        <v/>
      </c>
      <c r="H280" s="1" t="str">
        <f>VLOOKUP(Filtro!F280,Comparacao!$G$7:$J$200,3,FALSE)</f>
        <v/>
      </c>
      <c r="I280" s="1" t="str">
        <f>VLOOKUP(Filtro!F280,Comparacao!$G$7:$J$200,4,FALSE)</f>
        <v/>
      </c>
    </row>
    <row r="281" spans="1:9" x14ac:dyDescent="0.25">
      <c r="A281" s="3" t="str">
        <f t="array" ref="A281">IFERROR(INDEX(Comparacao!$A$7:$A$200,SMALL(IF(Comparacao!$E$7:$E$200=$A$2,ROW(Comparacao!$A$7:$A$200)),ROW(277:277))-4,1),"")</f>
        <v/>
      </c>
      <c r="B281" s="3" t="str">
        <f>IFERROR(VLOOKUP(A281,Lista1[],2,FALSE),"")</f>
        <v/>
      </c>
      <c r="C281" s="1" t="str">
        <f>VLOOKUP(Filtro!A281,Comparacao!$A$7:$D$200,3,FALSE)</f>
        <v/>
      </c>
      <c r="D281" s="1" t="str">
        <f>VLOOKUP(Filtro!A281,Comparacao!$A$7:$D$200,4,FALSE)</f>
        <v/>
      </c>
      <c r="F281" t="str">
        <f t="array" ref="F281">IFERROR(INDEX(Comparacao!$G$7:$G$200,SMALL(IF(Comparacao!$K$7:$K$200=$A$2,ROW(Comparacao!$G$7:$G$200)),ROW(277:277))-4,1),"")</f>
        <v/>
      </c>
      <c r="G281" t="str">
        <f>IFERROR(VLOOKUP(F281,Lista2[],2,FALSE),"")</f>
        <v/>
      </c>
      <c r="H281" s="1" t="str">
        <f>VLOOKUP(Filtro!F281,Comparacao!$G$7:$J$200,3,FALSE)</f>
        <v/>
      </c>
      <c r="I281" s="1" t="str">
        <f>VLOOKUP(Filtro!F281,Comparacao!$G$7:$J$200,4,FALSE)</f>
        <v/>
      </c>
    </row>
    <row r="282" spans="1:9" x14ac:dyDescent="0.25">
      <c r="A282" s="3" t="str">
        <f t="array" ref="A282">IFERROR(INDEX(Comparacao!$A$7:$A$200,SMALL(IF(Comparacao!$E$7:$E$200=$A$2,ROW(Comparacao!$A$7:$A$200)),ROW(278:278))-4,1),"")</f>
        <v/>
      </c>
      <c r="B282" s="3" t="str">
        <f>IFERROR(VLOOKUP(A282,Lista1[],2,FALSE),"")</f>
        <v/>
      </c>
      <c r="C282" s="1" t="str">
        <f>VLOOKUP(Filtro!A282,Comparacao!$A$7:$D$200,3,FALSE)</f>
        <v/>
      </c>
      <c r="D282" s="1" t="str">
        <f>VLOOKUP(Filtro!A282,Comparacao!$A$7:$D$200,4,FALSE)</f>
        <v/>
      </c>
      <c r="F282" t="str">
        <f t="array" ref="F282">IFERROR(INDEX(Comparacao!$G$7:$G$200,SMALL(IF(Comparacao!$K$7:$K$200=$A$2,ROW(Comparacao!$G$7:$G$200)),ROW(278:278))-4,1),"")</f>
        <v/>
      </c>
      <c r="G282" t="str">
        <f>IFERROR(VLOOKUP(F282,Lista2[],2,FALSE),"")</f>
        <v/>
      </c>
      <c r="H282" s="1" t="str">
        <f>VLOOKUP(Filtro!F282,Comparacao!$G$7:$J$200,3,FALSE)</f>
        <v/>
      </c>
      <c r="I282" s="1" t="str">
        <f>VLOOKUP(Filtro!F282,Comparacao!$G$7:$J$200,4,FALSE)</f>
        <v/>
      </c>
    </row>
    <row r="283" spans="1:9" x14ac:dyDescent="0.25">
      <c r="A283" s="3" t="str">
        <f t="array" ref="A283">IFERROR(INDEX(Comparacao!$A$7:$A$200,SMALL(IF(Comparacao!$E$7:$E$200=$A$2,ROW(Comparacao!$A$7:$A$200)),ROW(279:279))-4,1),"")</f>
        <v/>
      </c>
      <c r="B283" s="3" t="str">
        <f>IFERROR(VLOOKUP(A283,Lista1[],2,FALSE),"")</f>
        <v/>
      </c>
      <c r="C283" s="1" t="str">
        <f>VLOOKUP(Filtro!A283,Comparacao!$A$7:$D$200,3,FALSE)</f>
        <v/>
      </c>
      <c r="D283" s="1" t="str">
        <f>VLOOKUP(Filtro!A283,Comparacao!$A$7:$D$200,4,FALSE)</f>
        <v/>
      </c>
      <c r="F283" t="str">
        <f t="array" ref="F283">IFERROR(INDEX(Comparacao!$G$7:$G$200,SMALL(IF(Comparacao!$K$7:$K$200=$A$2,ROW(Comparacao!$G$7:$G$200)),ROW(279:279))-4,1),"")</f>
        <v/>
      </c>
      <c r="G283" t="str">
        <f>IFERROR(VLOOKUP(F283,Lista2[],2,FALSE),"")</f>
        <v/>
      </c>
      <c r="H283" s="1" t="str">
        <f>VLOOKUP(Filtro!F283,Comparacao!$G$7:$J$200,3,FALSE)</f>
        <v/>
      </c>
      <c r="I283" s="1" t="str">
        <f>VLOOKUP(Filtro!F283,Comparacao!$G$7:$J$200,4,FALSE)</f>
        <v/>
      </c>
    </row>
    <row r="284" spans="1:9" x14ac:dyDescent="0.25">
      <c r="A284" s="3" t="str">
        <f t="array" ref="A284">IFERROR(INDEX(Comparacao!$A$7:$A$200,SMALL(IF(Comparacao!$E$7:$E$200=$A$2,ROW(Comparacao!$A$7:$A$200)),ROW(280:280))-4,1),"")</f>
        <v/>
      </c>
      <c r="B284" s="3" t="str">
        <f>IFERROR(VLOOKUP(A284,Lista1[],2,FALSE),"")</f>
        <v/>
      </c>
      <c r="C284" s="1" t="str">
        <f>VLOOKUP(Filtro!A284,Comparacao!$A$7:$D$200,3,FALSE)</f>
        <v/>
      </c>
      <c r="D284" s="1" t="str">
        <f>VLOOKUP(Filtro!A284,Comparacao!$A$7:$D$200,4,FALSE)</f>
        <v/>
      </c>
      <c r="F284" t="str">
        <f t="array" ref="F284">IFERROR(INDEX(Comparacao!$G$7:$G$200,SMALL(IF(Comparacao!$K$7:$K$200=$A$2,ROW(Comparacao!$G$7:$G$200)),ROW(280:280))-4,1),"")</f>
        <v/>
      </c>
      <c r="G284" t="str">
        <f>IFERROR(VLOOKUP(F284,Lista2[],2,FALSE),"")</f>
        <v/>
      </c>
      <c r="H284" s="1" t="str">
        <f>VLOOKUP(Filtro!F284,Comparacao!$G$7:$J$200,3,FALSE)</f>
        <v/>
      </c>
      <c r="I284" s="1" t="str">
        <f>VLOOKUP(Filtro!F284,Comparacao!$G$7:$J$200,4,FALSE)</f>
        <v/>
      </c>
    </row>
    <row r="285" spans="1:9" x14ac:dyDescent="0.25">
      <c r="A285" s="3" t="str">
        <f t="array" ref="A285">IFERROR(INDEX(Comparacao!$A$7:$A$200,SMALL(IF(Comparacao!$E$7:$E$200=$A$2,ROW(Comparacao!$A$7:$A$200)),ROW(281:281))-4,1),"")</f>
        <v/>
      </c>
      <c r="B285" s="3" t="str">
        <f>IFERROR(VLOOKUP(A285,Lista1[],2,FALSE),"")</f>
        <v/>
      </c>
      <c r="C285" s="1" t="str">
        <f>VLOOKUP(Filtro!A285,Comparacao!$A$7:$D$200,3,FALSE)</f>
        <v/>
      </c>
      <c r="D285" s="1" t="str">
        <f>VLOOKUP(Filtro!A285,Comparacao!$A$7:$D$200,4,FALSE)</f>
        <v/>
      </c>
      <c r="F285" t="str">
        <f t="array" ref="F285">IFERROR(INDEX(Comparacao!$G$7:$G$200,SMALL(IF(Comparacao!$K$7:$K$200=$A$2,ROW(Comparacao!$G$7:$G$200)),ROW(281:281))-4,1),"")</f>
        <v/>
      </c>
      <c r="G285" t="str">
        <f>IFERROR(VLOOKUP(F285,Lista2[],2,FALSE),"")</f>
        <v/>
      </c>
      <c r="H285" s="1" t="str">
        <f>VLOOKUP(Filtro!F285,Comparacao!$G$7:$J$200,3,FALSE)</f>
        <v/>
      </c>
      <c r="I285" s="1" t="str">
        <f>VLOOKUP(Filtro!F285,Comparacao!$G$7:$J$200,4,FALSE)</f>
        <v/>
      </c>
    </row>
    <row r="286" spans="1:9" x14ac:dyDescent="0.25">
      <c r="A286" s="3" t="str">
        <f t="array" ref="A286">IFERROR(INDEX(Comparacao!$A$7:$A$200,SMALL(IF(Comparacao!$E$7:$E$200=$A$2,ROW(Comparacao!$A$7:$A$200)),ROW(282:282))-4,1),"")</f>
        <v/>
      </c>
      <c r="B286" s="3" t="str">
        <f>IFERROR(VLOOKUP(A286,Lista1[],2,FALSE),"")</f>
        <v/>
      </c>
      <c r="C286" s="1" t="str">
        <f>VLOOKUP(Filtro!A286,Comparacao!$A$7:$D$200,3,FALSE)</f>
        <v/>
      </c>
      <c r="D286" s="1" t="str">
        <f>VLOOKUP(Filtro!A286,Comparacao!$A$7:$D$200,4,FALSE)</f>
        <v/>
      </c>
      <c r="F286" t="str">
        <f t="array" ref="F286">IFERROR(INDEX(Comparacao!$G$7:$G$200,SMALL(IF(Comparacao!$K$7:$K$200=$A$2,ROW(Comparacao!$G$7:$G$200)),ROW(282:282))-4,1),"")</f>
        <v/>
      </c>
      <c r="G286" t="str">
        <f>IFERROR(VLOOKUP(F286,Lista2[],2,FALSE),"")</f>
        <v/>
      </c>
      <c r="H286" s="1" t="str">
        <f>VLOOKUP(Filtro!F286,Comparacao!$G$7:$J$200,3,FALSE)</f>
        <v/>
      </c>
      <c r="I286" s="1" t="str">
        <f>VLOOKUP(Filtro!F286,Comparacao!$G$7:$J$200,4,FALSE)</f>
        <v/>
      </c>
    </row>
    <row r="287" spans="1:9" x14ac:dyDescent="0.25">
      <c r="A287" s="3" t="str">
        <f t="array" ref="A287">IFERROR(INDEX(Comparacao!$A$7:$A$200,SMALL(IF(Comparacao!$E$7:$E$200=$A$2,ROW(Comparacao!$A$7:$A$200)),ROW(283:283))-4,1),"")</f>
        <v/>
      </c>
      <c r="B287" s="3" t="str">
        <f>IFERROR(VLOOKUP(A287,Lista1[],2,FALSE),"")</f>
        <v/>
      </c>
      <c r="C287" s="1" t="str">
        <f>VLOOKUP(Filtro!A287,Comparacao!$A$7:$D$200,3,FALSE)</f>
        <v/>
      </c>
      <c r="D287" s="1" t="str">
        <f>VLOOKUP(Filtro!A287,Comparacao!$A$7:$D$200,4,FALSE)</f>
        <v/>
      </c>
      <c r="F287" t="str">
        <f t="array" ref="F287">IFERROR(INDEX(Comparacao!$G$7:$G$200,SMALL(IF(Comparacao!$K$7:$K$200=$A$2,ROW(Comparacao!$G$7:$G$200)),ROW(283:283))-4,1),"")</f>
        <v/>
      </c>
      <c r="G287" t="str">
        <f>IFERROR(VLOOKUP(F287,Lista2[],2,FALSE),"")</f>
        <v/>
      </c>
      <c r="H287" s="1" t="str">
        <f>VLOOKUP(Filtro!F287,Comparacao!$G$7:$J$200,3,FALSE)</f>
        <v/>
      </c>
      <c r="I287" s="1" t="str">
        <f>VLOOKUP(Filtro!F287,Comparacao!$G$7:$J$200,4,FALSE)</f>
        <v/>
      </c>
    </row>
    <row r="288" spans="1:9" x14ac:dyDescent="0.25">
      <c r="A288" s="3" t="str">
        <f t="array" ref="A288">IFERROR(INDEX(Comparacao!$A$7:$A$200,SMALL(IF(Comparacao!$E$7:$E$200=$A$2,ROW(Comparacao!$A$7:$A$200)),ROW(284:284))-4,1),"")</f>
        <v/>
      </c>
      <c r="B288" s="3" t="str">
        <f>IFERROR(VLOOKUP(A288,Lista1[],2,FALSE),"")</f>
        <v/>
      </c>
      <c r="C288" s="1" t="str">
        <f>VLOOKUP(Filtro!A288,Comparacao!$A$7:$D$200,3,FALSE)</f>
        <v/>
      </c>
      <c r="D288" s="1" t="str">
        <f>VLOOKUP(Filtro!A288,Comparacao!$A$7:$D$200,4,FALSE)</f>
        <v/>
      </c>
      <c r="F288" t="str">
        <f t="array" ref="F288">IFERROR(INDEX(Comparacao!$G$7:$G$200,SMALL(IF(Comparacao!$K$7:$K$200=$A$2,ROW(Comparacao!$G$7:$G$200)),ROW(284:284))-4,1),"")</f>
        <v/>
      </c>
      <c r="G288" t="str">
        <f>IFERROR(VLOOKUP(F288,Lista2[],2,FALSE),"")</f>
        <v/>
      </c>
      <c r="H288" s="1" t="str">
        <f>VLOOKUP(Filtro!F288,Comparacao!$G$7:$J$200,3,FALSE)</f>
        <v/>
      </c>
      <c r="I288" s="1" t="str">
        <f>VLOOKUP(Filtro!F288,Comparacao!$G$7:$J$200,4,FALSE)</f>
        <v/>
      </c>
    </row>
    <row r="289" spans="1:9" x14ac:dyDescent="0.25">
      <c r="A289" s="3" t="str">
        <f t="array" ref="A289">IFERROR(INDEX(Comparacao!$A$7:$A$200,SMALL(IF(Comparacao!$E$7:$E$200=$A$2,ROW(Comparacao!$A$7:$A$200)),ROW(285:285))-4,1),"")</f>
        <v/>
      </c>
      <c r="B289" s="3" t="str">
        <f>IFERROR(VLOOKUP(A289,Lista1[],2,FALSE),"")</f>
        <v/>
      </c>
      <c r="C289" s="1" t="str">
        <f>VLOOKUP(Filtro!A289,Comparacao!$A$7:$D$200,3,FALSE)</f>
        <v/>
      </c>
      <c r="D289" s="1" t="str">
        <f>VLOOKUP(Filtro!A289,Comparacao!$A$7:$D$200,4,FALSE)</f>
        <v/>
      </c>
      <c r="F289" t="str">
        <f t="array" ref="F289">IFERROR(INDEX(Comparacao!$G$7:$G$200,SMALL(IF(Comparacao!$K$7:$K$200=$A$2,ROW(Comparacao!$G$7:$G$200)),ROW(285:285))-4,1),"")</f>
        <v/>
      </c>
      <c r="G289" t="str">
        <f>IFERROR(VLOOKUP(F289,Lista2[],2,FALSE),"")</f>
        <v/>
      </c>
      <c r="H289" s="1" t="str">
        <f>VLOOKUP(Filtro!F289,Comparacao!$G$7:$J$200,3,FALSE)</f>
        <v/>
      </c>
      <c r="I289" s="1" t="str">
        <f>VLOOKUP(Filtro!F289,Comparacao!$G$7:$J$200,4,FALSE)</f>
        <v/>
      </c>
    </row>
    <row r="290" spans="1:9" x14ac:dyDescent="0.25">
      <c r="A290" s="3" t="str">
        <f t="array" ref="A290">IFERROR(INDEX(Comparacao!$A$7:$A$200,SMALL(IF(Comparacao!$E$7:$E$200=$A$2,ROW(Comparacao!$A$7:$A$200)),ROW(286:286))-4,1),"")</f>
        <v/>
      </c>
      <c r="B290" s="3" t="str">
        <f>IFERROR(VLOOKUP(A290,Lista1[],2,FALSE),"")</f>
        <v/>
      </c>
      <c r="C290" s="1" t="str">
        <f>VLOOKUP(Filtro!A290,Comparacao!$A$7:$D$200,3,FALSE)</f>
        <v/>
      </c>
      <c r="D290" s="1" t="str">
        <f>VLOOKUP(Filtro!A290,Comparacao!$A$7:$D$200,4,FALSE)</f>
        <v/>
      </c>
      <c r="F290" t="str">
        <f t="array" ref="F290">IFERROR(INDEX(Comparacao!$G$7:$G$200,SMALL(IF(Comparacao!$K$7:$K$200=$A$2,ROW(Comparacao!$G$7:$G$200)),ROW(286:286))-4,1),"")</f>
        <v/>
      </c>
      <c r="G290" t="str">
        <f>IFERROR(VLOOKUP(F290,Lista2[],2,FALSE),"")</f>
        <v/>
      </c>
      <c r="H290" s="1" t="str">
        <f>VLOOKUP(Filtro!F290,Comparacao!$G$7:$J$200,3,FALSE)</f>
        <v/>
      </c>
      <c r="I290" s="1" t="str">
        <f>VLOOKUP(Filtro!F290,Comparacao!$G$7:$J$200,4,FALSE)</f>
        <v/>
      </c>
    </row>
    <row r="291" spans="1:9" x14ac:dyDescent="0.25">
      <c r="A291" s="3" t="str">
        <f t="array" ref="A291">IFERROR(INDEX(Comparacao!$A$7:$A$200,SMALL(IF(Comparacao!$E$7:$E$200=$A$2,ROW(Comparacao!$A$7:$A$200)),ROW(287:287))-4,1),"")</f>
        <v/>
      </c>
      <c r="B291" s="3" t="str">
        <f>IFERROR(VLOOKUP(A291,Lista1[],2,FALSE),"")</f>
        <v/>
      </c>
      <c r="C291" s="1" t="str">
        <f>VLOOKUP(Filtro!A291,Comparacao!$A$7:$D$200,3,FALSE)</f>
        <v/>
      </c>
      <c r="D291" s="1" t="str">
        <f>VLOOKUP(Filtro!A291,Comparacao!$A$7:$D$200,4,FALSE)</f>
        <v/>
      </c>
      <c r="F291" t="str">
        <f t="array" ref="F291">IFERROR(INDEX(Comparacao!$G$7:$G$200,SMALL(IF(Comparacao!$K$7:$K$200=$A$2,ROW(Comparacao!$G$7:$G$200)),ROW(287:287))-4,1),"")</f>
        <v/>
      </c>
      <c r="G291" t="str">
        <f>IFERROR(VLOOKUP(F291,Lista2[],2,FALSE),"")</f>
        <v/>
      </c>
      <c r="H291" s="1" t="str">
        <f>VLOOKUP(Filtro!F291,Comparacao!$G$7:$J$200,3,FALSE)</f>
        <v/>
      </c>
      <c r="I291" s="1" t="str">
        <f>VLOOKUP(Filtro!F291,Comparacao!$G$7:$J$200,4,FALSE)</f>
        <v/>
      </c>
    </row>
    <row r="292" spans="1:9" x14ac:dyDescent="0.25">
      <c r="A292" s="3" t="str">
        <f t="array" ref="A292">IFERROR(INDEX(Comparacao!$A$7:$A$200,SMALL(IF(Comparacao!$E$7:$E$200=$A$2,ROW(Comparacao!$A$7:$A$200)),ROW(288:288))-4,1),"")</f>
        <v/>
      </c>
      <c r="B292" s="3" t="str">
        <f>IFERROR(VLOOKUP(A292,Lista1[],2,FALSE),"")</f>
        <v/>
      </c>
      <c r="C292" s="1" t="str">
        <f>VLOOKUP(Filtro!A292,Comparacao!$A$7:$D$200,3,FALSE)</f>
        <v/>
      </c>
      <c r="D292" s="1" t="str">
        <f>VLOOKUP(Filtro!A292,Comparacao!$A$7:$D$200,4,FALSE)</f>
        <v/>
      </c>
      <c r="F292" t="str">
        <f t="array" ref="F292">IFERROR(INDEX(Comparacao!$G$7:$G$200,SMALL(IF(Comparacao!$K$7:$K$200=$A$2,ROW(Comparacao!$G$7:$G$200)),ROW(288:288))-4,1),"")</f>
        <v/>
      </c>
      <c r="G292" t="str">
        <f>IFERROR(VLOOKUP(F292,Lista2[],2,FALSE),"")</f>
        <v/>
      </c>
      <c r="H292" s="1" t="str">
        <f>VLOOKUP(Filtro!F292,Comparacao!$G$7:$J$200,3,FALSE)</f>
        <v/>
      </c>
      <c r="I292" s="1" t="str">
        <f>VLOOKUP(Filtro!F292,Comparacao!$G$7:$J$200,4,FALSE)</f>
        <v/>
      </c>
    </row>
    <row r="293" spans="1:9" x14ac:dyDescent="0.25">
      <c r="A293" s="3" t="str">
        <f t="array" ref="A293">IFERROR(INDEX(Comparacao!$A$7:$A$200,SMALL(IF(Comparacao!$E$7:$E$200=$A$2,ROW(Comparacao!$A$7:$A$200)),ROW(289:289))-4,1),"")</f>
        <v/>
      </c>
      <c r="B293" s="3" t="str">
        <f>IFERROR(VLOOKUP(A293,Lista1[],2,FALSE),"")</f>
        <v/>
      </c>
      <c r="C293" s="1" t="str">
        <f>VLOOKUP(Filtro!A293,Comparacao!$A$7:$D$200,3,FALSE)</f>
        <v/>
      </c>
      <c r="D293" s="1" t="str">
        <f>VLOOKUP(Filtro!A293,Comparacao!$A$7:$D$200,4,FALSE)</f>
        <v/>
      </c>
      <c r="F293" t="str">
        <f t="array" ref="F293">IFERROR(INDEX(Comparacao!$G$7:$G$200,SMALL(IF(Comparacao!$K$7:$K$200=$A$2,ROW(Comparacao!$G$7:$G$200)),ROW(289:289))-4,1),"")</f>
        <v/>
      </c>
      <c r="G293" t="str">
        <f>IFERROR(VLOOKUP(F293,Lista2[],2,FALSE),"")</f>
        <v/>
      </c>
      <c r="H293" s="1" t="str">
        <f>VLOOKUP(Filtro!F293,Comparacao!$G$7:$J$200,3,FALSE)</f>
        <v/>
      </c>
      <c r="I293" s="1" t="str">
        <f>VLOOKUP(Filtro!F293,Comparacao!$G$7:$J$200,4,FALSE)</f>
        <v/>
      </c>
    </row>
    <row r="294" spans="1:9" x14ac:dyDescent="0.25">
      <c r="A294" s="3" t="str">
        <f t="array" ref="A294">IFERROR(INDEX(Comparacao!$A$7:$A$200,SMALL(IF(Comparacao!$E$7:$E$200=$A$2,ROW(Comparacao!$A$7:$A$200)),ROW(290:290))-4,1),"")</f>
        <v/>
      </c>
      <c r="B294" s="3" t="str">
        <f>IFERROR(VLOOKUP(A294,Lista1[],2,FALSE),"")</f>
        <v/>
      </c>
      <c r="C294" s="1" t="str">
        <f>VLOOKUP(Filtro!A294,Comparacao!$A$7:$D$200,3,FALSE)</f>
        <v/>
      </c>
      <c r="D294" s="1" t="str">
        <f>VLOOKUP(Filtro!A294,Comparacao!$A$7:$D$200,4,FALSE)</f>
        <v/>
      </c>
      <c r="F294" t="str">
        <f t="array" ref="F294">IFERROR(INDEX(Comparacao!$G$7:$G$200,SMALL(IF(Comparacao!$K$7:$K$200=$A$2,ROW(Comparacao!$G$7:$G$200)),ROW(290:290))-4,1),"")</f>
        <v/>
      </c>
      <c r="G294" t="str">
        <f>IFERROR(VLOOKUP(F294,Lista2[],2,FALSE),"")</f>
        <v/>
      </c>
      <c r="H294" s="1" t="str">
        <f>VLOOKUP(Filtro!F294,Comparacao!$G$7:$J$200,3,FALSE)</f>
        <v/>
      </c>
      <c r="I294" s="1" t="str">
        <f>VLOOKUP(Filtro!F294,Comparacao!$G$7:$J$200,4,FALSE)</f>
        <v/>
      </c>
    </row>
    <row r="295" spans="1:9" x14ac:dyDescent="0.25">
      <c r="A295" s="3" t="str">
        <f t="array" ref="A295">IFERROR(INDEX(Comparacao!$A$7:$A$200,SMALL(IF(Comparacao!$E$7:$E$200=$A$2,ROW(Comparacao!$A$7:$A$200)),ROW(291:291))-4,1),"")</f>
        <v/>
      </c>
      <c r="B295" s="3" t="str">
        <f>IFERROR(VLOOKUP(A295,Lista1[],2,FALSE),"")</f>
        <v/>
      </c>
      <c r="C295" s="1" t="str">
        <f>VLOOKUP(Filtro!A295,Comparacao!$A$7:$D$200,3,FALSE)</f>
        <v/>
      </c>
      <c r="D295" s="1" t="str">
        <f>VLOOKUP(Filtro!A295,Comparacao!$A$7:$D$200,4,FALSE)</f>
        <v/>
      </c>
      <c r="F295" t="str">
        <f t="array" ref="F295">IFERROR(INDEX(Comparacao!$G$7:$G$200,SMALL(IF(Comparacao!$K$7:$K$200=$A$2,ROW(Comparacao!$G$7:$G$200)),ROW(291:291))-4,1),"")</f>
        <v/>
      </c>
      <c r="G295" t="str">
        <f>IFERROR(VLOOKUP(F295,Lista2[],2,FALSE),"")</f>
        <v/>
      </c>
      <c r="H295" s="1" t="str">
        <f>VLOOKUP(Filtro!F295,Comparacao!$G$7:$J$200,3,FALSE)</f>
        <v/>
      </c>
      <c r="I295" s="1" t="str">
        <f>VLOOKUP(Filtro!F295,Comparacao!$G$7:$J$200,4,FALSE)</f>
        <v/>
      </c>
    </row>
    <row r="296" spans="1:9" x14ac:dyDescent="0.25">
      <c r="A296" s="3" t="str">
        <f t="array" ref="A296">IFERROR(INDEX(Comparacao!$A$7:$A$200,SMALL(IF(Comparacao!$E$7:$E$200=$A$2,ROW(Comparacao!$A$7:$A$200)),ROW(292:292))-4,1),"")</f>
        <v/>
      </c>
      <c r="B296" s="3" t="str">
        <f>IFERROR(VLOOKUP(A296,Lista1[],2,FALSE),"")</f>
        <v/>
      </c>
      <c r="C296" s="1" t="str">
        <f>VLOOKUP(Filtro!A296,Comparacao!$A$7:$D$200,3,FALSE)</f>
        <v/>
      </c>
      <c r="D296" s="1" t="str">
        <f>VLOOKUP(Filtro!A296,Comparacao!$A$7:$D$200,4,FALSE)</f>
        <v/>
      </c>
      <c r="F296" t="str">
        <f t="array" ref="F296">IFERROR(INDEX(Comparacao!$G$7:$G$200,SMALL(IF(Comparacao!$K$7:$K$200=$A$2,ROW(Comparacao!$G$7:$G$200)),ROW(292:292))-4,1),"")</f>
        <v/>
      </c>
      <c r="G296" t="str">
        <f>IFERROR(VLOOKUP(F296,Lista2[],2,FALSE),"")</f>
        <v/>
      </c>
      <c r="H296" s="1" t="str">
        <f>VLOOKUP(Filtro!F296,Comparacao!$G$7:$J$200,3,FALSE)</f>
        <v/>
      </c>
      <c r="I296" s="1" t="str">
        <f>VLOOKUP(Filtro!F296,Comparacao!$G$7:$J$200,4,FALSE)</f>
        <v/>
      </c>
    </row>
    <row r="297" spans="1:9" x14ac:dyDescent="0.25">
      <c r="A297" s="3" t="str">
        <f t="array" ref="A297">IFERROR(INDEX(Comparacao!$A$7:$A$200,SMALL(IF(Comparacao!$E$7:$E$200=$A$2,ROW(Comparacao!$A$7:$A$200)),ROW(293:293))-4,1),"")</f>
        <v/>
      </c>
      <c r="B297" s="3" t="str">
        <f>IFERROR(VLOOKUP(A297,Lista1[],2,FALSE),"")</f>
        <v/>
      </c>
      <c r="C297" s="1" t="str">
        <f>VLOOKUP(Filtro!A297,Comparacao!$A$7:$D$200,3,FALSE)</f>
        <v/>
      </c>
      <c r="D297" s="1" t="str">
        <f>VLOOKUP(Filtro!A297,Comparacao!$A$7:$D$200,4,FALSE)</f>
        <v/>
      </c>
      <c r="F297" t="str">
        <f t="array" ref="F297">IFERROR(INDEX(Comparacao!$G$7:$G$200,SMALL(IF(Comparacao!$K$7:$K$200=$A$2,ROW(Comparacao!$G$7:$G$200)),ROW(293:293))-4,1),"")</f>
        <v/>
      </c>
      <c r="G297" t="str">
        <f>IFERROR(VLOOKUP(F297,Lista2[],2,FALSE),"")</f>
        <v/>
      </c>
      <c r="H297" s="1" t="str">
        <f>VLOOKUP(Filtro!F297,Comparacao!$G$7:$J$200,3,FALSE)</f>
        <v/>
      </c>
      <c r="I297" s="1" t="str">
        <f>VLOOKUP(Filtro!F297,Comparacao!$G$7:$J$200,4,FALSE)</f>
        <v/>
      </c>
    </row>
    <row r="298" spans="1:9" x14ac:dyDescent="0.25">
      <c r="A298" s="3" t="str">
        <f t="array" ref="A298">IFERROR(INDEX(Comparacao!$A$7:$A$200,SMALL(IF(Comparacao!$E$7:$E$200=$A$2,ROW(Comparacao!$A$7:$A$200)),ROW(294:294))-4,1),"")</f>
        <v/>
      </c>
      <c r="B298" s="3" t="str">
        <f>IFERROR(VLOOKUP(A298,Lista1[],2,FALSE),"")</f>
        <v/>
      </c>
      <c r="C298" s="1" t="str">
        <f>VLOOKUP(Filtro!A298,Comparacao!$A$7:$D$200,3,FALSE)</f>
        <v/>
      </c>
      <c r="D298" s="1" t="str">
        <f>VLOOKUP(Filtro!A298,Comparacao!$A$7:$D$200,4,FALSE)</f>
        <v/>
      </c>
      <c r="F298" t="str">
        <f t="array" ref="F298">IFERROR(INDEX(Comparacao!$G$7:$G$200,SMALL(IF(Comparacao!$K$7:$K$200=$A$2,ROW(Comparacao!$G$7:$G$200)),ROW(294:294))-4,1),"")</f>
        <v/>
      </c>
      <c r="G298" t="str">
        <f>IFERROR(VLOOKUP(F298,Lista2[],2,FALSE),"")</f>
        <v/>
      </c>
      <c r="H298" s="1" t="str">
        <f>VLOOKUP(Filtro!F298,Comparacao!$G$7:$J$200,3,FALSE)</f>
        <v/>
      </c>
      <c r="I298" s="1" t="str">
        <f>VLOOKUP(Filtro!F298,Comparacao!$G$7:$J$200,4,FALSE)</f>
        <v/>
      </c>
    </row>
    <row r="299" spans="1:9" x14ac:dyDescent="0.25">
      <c r="A299" s="3" t="str">
        <f t="array" ref="A299">IFERROR(INDEX(Comparacao!$A$7:$A$200,SMALL(IF(Comparacao!$E$7:$E$200=$A$2,ROW(Comparacao!$A$7:$A$200)),ROW(295:295))-4,1),"")</f>
        <v/>
      </c>
      <c r="B299" s="3" t="str">
        <f>IFERROR(VLOOKUP(A299,Lista1[],2,FALSE),"")</f>
        <v/>
      </c>
      <c r="C299" s="1" t="str">
        <f>VLOOKUP(Filtro!A299,Comparacao!$A$7:$D$200,3,FALSE)</f>
        <v/>
      </c>
      <c r="D299" s="1" t="str">
        <f>VLOOKUP(Filtro!A299,Comparacao!$A$7:$D$200,4,FALSE)</f>
        <v/>
      </c>
      <c r="F299" t="str">
        <f t="array" ref="F299">IFERROR(INDEX(Comparacao!$G$7:$G$200,SMALL(IF(Comparacao!$K$7:$K$200=$A$2,ROW(Comparacao!$G$7:$G$200)),ROW(295:295))-4,1),"")</f>
        <v/>
      </c>
      <c r="G299" t="str">
        <f>IFERROR(VLOOKUP(F299,Lista2[],2,FALSE),"")</f>
        <v/>
      </c>
      <c r="H299" s="1" t="str">
        <f>VLOOKUP(Filtro!F299,Comparacao!$G$7:$J$200,3,FALSE)</f>
        <v/>
      </c>
      <c r="I299" s="1" t="str">
        <f>VLOOKUP(Filtro!F299,Comparacao!$G$7:$J$200,4,FALSE)</f>
        <v/>
      </c>
    </row>
    <row r="300" spans="1:9" x14ac:dyDescent="0.25">
      <c r="A300" s="3" t="str">
        <f t="array" ref="A300">IFERROR(INDEX(Comparacao!$A$7:$A$200,SMALL(IF(Comparacao!$E$7:$E$200=$A$2,ROW(Comparacao!$A$7:$A$200)),ROW(296:296))-4,1),"")</f>
        <v/>
      </c>
      <c r="B300" s="3" t="str">
        <f>IFERROR(VLOOKUP(A300,Lista1[],2,FALSE),"")</f>
        <v/>
      </c>
      <c r="C300" s="1" t="str">
        <f>VLOOKUP(Filtro!A300,Comparacao!$A$7:$D$200,3,FALSE)</f>
        <v/>
      </c>
      <c r="D300" s="1" t="str">
        <f>VLOOKUP(Filtro!A300,Comparacao!$A$7:$D$200,4,FALSE)</f>
        <v/>
      </c>
      <c r="F300" t="str">
        <f t="array" ref="F300">IFERROR(INDEX(Comparacao!$G$7:$G$200,SMALL(IF(Comparacao!$K$7:$K$200=$A$2,ROW(Comparacao!$G$7:$G$200)),ROW(296:296))-4,1),"")</f>
        <v/>
      </c>
      <c r="G300" t="str">
        <f>IFERROR(VLOOKUP(F300,Lista2[],2,FALSE),"")</f>
        <v/>
      </c>
      <c r="H300" s="1" t="str">
        <f>VLOOKUP(Filtro!F300,Comparacao!$G$7:$J$200,3,FALSE)</f>
        <v/>
      </c>
      <c r="I300" s="1" t="str">
        <f>VLOOKUP(Filtro!F300,Comparacao!$G$7:$J$200,4,FALSE)</f>
        <v/>
      </c>
    </row>
    <row r="301" spans="1:9" x14ac:dyDescent="0.25">
      <c r="A301" s="3" t="str">
        <f t="array" ref="A301">IFERROR(INDEX(Comparacao!$A$7:$A$200,SMALL(IF(Comparacao!$E$7:$E$200=$A$2,ROW(Comparacao!$A$7:$A$200)),ROW(297:297))-4,1),"")</f>
        <v/>
      </c>
      <c r="B301" s="3" t="str">
        <f>IFERROR(VLOOKUP(A301,Lista1[],2,FALSE),"")</f>
        <v/>
      </c>
      <c r="C301" s="1" t="str">
        <f>VLOOKUP(Filtro!A301,Comparacao!$A$7:$D$200,3,FALSE)</f>
        <v/>
      </c>
      <c r="D301" s="1" t="str">
        <f>VLOOKUP(Filtro!A301,Comparacao!$A$7:$D$200,4,FALSE)</f>
        <v/>
      </c>
      <c r="F301" t="str">
        <f t="array" ref="F301">IFERROR(INDEX(Comparacao!$G$7:$G$200,SMALL(IF(Comparacao!$K$7:$K$200=$A$2,ROW(Comparacao!$G$7:$G$200)),ROW(297:297))-4,1),"")</f>
        <v/>
      </c>
      <c r="G301" t="str">
        <f>IFERROR(VLOOKUP(F301,Lista2[],2,FALSE),"")</f>
        <v/>
      </c>
      <c r="H301" s="1" t="str">
        <f>VLOOKUP(Filtro!F301,Comparacao!$G$7:$J$200,3,FALSE)</f>
        <v/>
      </c>
      <c r="I301" s="1" t="str">
        <f>VLOOKUP(Filtro!F301,Comparacao!$G$7:$J$200,4,FALSE)</f>
        <v/>
      </c>
    </row>
    <row r="302" spans="1:9" x14ac:dyDescent="0.25">
      <c r="A302" s="3" t="str">
        <f t="array" ref="A302">IFERROR(INDEX(Comparacao!$A$7:$A$200,SMALL(IF(Comparacao!$E$7:$E$200=$A$2,ROW(Comparacao!$A$7:$A$200)),ROW(298:298))-4,1),"")</f>
        <v/>
      </c>
      <c r="B302" s="3" t="str">
        <f>IFERROR(VLOOKUP(A302,Lista1[],2,FALSE),"")</f>
        <v/>
      </c>
      <c r="C302" s="1" t="str">
        <f>VLOOKUP(Filtro!A302,Comparacao!$A$7:$D$200,3,FALSE)</f>
        <v/>
      </c>
      <c r="D302" s="1" t="str">
        <f>VLOOKUP(Filtro!A302,Comparacao!$A$7:$D$200,4,FALSE)</f>
        <v/>
      </c>
      <c r="F302" t="str">
        <f t="array" ref="F302">IFERROR(INDEX(Comparacao!$G$7:$G$200,SMALL(IF(Comparacao!$K$7:$K$200=$A$2,ROW(Comparacao!$G$7:$G$200)),ROW(298:298))-4,1),"")</f>
        <v/>
      </c>
      <c r="G302" t="str">
        <f>IFERROR(VLOOKUP(F302,Lista2[],2,FALSE),"")</f>
        <v/>
      </c>
      <c r="H302" s="1" t="str">
        <f>VLOOKUP(Filtro!F302,Comparacao!$G$7:$J$200,3,FALSE)</f>
        <v/>
      </c>
      <c r="I302" s="1" t="str">
        <f>VLOOKUP(Filtro!F302,Comparacao!$G$7:$J$200,4,FALSE)</f>
        <v/>
      </c>
    </row>
    <row r="303" spans="1:9" x14ac:dyDescent="0.25">
      <c r="A303" s="3" t="str">
        <f t="array" ref="A303">IFERROR(INDEX(Comparacao!$A$7:$A$200,SMALL(IF(Comparacao!$E$7:$E$200=$A$2,ROW(Comparacao!$A$7:$A$200)),ROW(299:299))-4,1),"")</f>
        <v/>
      </c>
      <c r="B303" s="3" t="str">
        <f>IFERROR(VLOOKUP(A303,Lista1[],2,FALSE),"")</f>
        <v/>
      </c>
      <c r="C303" s="1" t="str">
        <f>VLOOKUP(Filtro!A303,Comparacao!$A$7:$D$200,3,FALSE)</f>
        <v/>
      </c>
      <c r="D303" s="1" t="str">
        <f>VLOOKUP(Filtro!A303,Comparacao!$A$7:$D$200,4,FALSE)</f>
        <v/>
      </c>
      <c r="F303" t="str">
        <f t="array" ref="F303">IFERROR(INDEX(Comparacao!$G$7:$G$200,SMALL(IF(Comparacao!$K$7:$K$200=$A$2,ROW(Comparacao!$G$7:$G$200)),ROW(299:299))-4,1),"")</f>
        <v/>
      </c>
      <c r="G303" t="str">
        <f>IFERROR(VLOOKUP(F303,Lista2[],2,FALSE),"")</f>
        <v/>
      </c>
      <c r="H303" s="1" t="str">
        <f>VLOOKUP(Filtro!F303,Comparacao!$G$7:$J$200,3,FALSE)</f>
        <v/>
      </c>
      <c r="I303" s="1" t="str">
        <f>VLOOKUP(Filtro!F303,Comparacao!$G$7:$J$200,4,FALSE)</f>
        <v/>
      </c>
    </row>
    <row r="304" spans="1:9" x14ac:dyDescent="0.25">
      <c r="A304" s="3" t="str">
        <f t="array" ref="A304">IFERROR(INDEX(Comparacao!$A$7:$A$200,SMALL(IF(Comparacao!$E$7:$E$200=$A$2,ROW(Comparacao!$A$7:$A$200)),ROW(300:300))-4,1),"")</f>
        <v/>
      </c>
      <c r="B304" s="3" t="str">
        <f>IFERROR(VLOOKUP(A304,Lista1[],2,FALSE),"")</f>
        <v/>
      </c>
      <c r="C304" s="1" t="str">
        <f>VLOOKUP(Filtro!A304,Comparacao!$A$7:$D$200,3,FALSE)</f>
        <v/>
      </c>
      <c r="D304" s="1" t="str">
        <f>VLOOKUP(Filtro!A304,Comparacao!$A$7:$D$200,4,FALSE)</f>
        <v/>
      </c>
      <c r="F304" t="str">
        <f t="array" ref="F304">IFERROR(INDEX(Comparacao!$G$7:$G$200,SMALL(IF(Comparacao!$K$7:$K$200=$A$2,ROW(Comparacao!$G$7:$G$200)),ROW(300:300))-4,1),"")</f>
        <v/>
      </c>
      <c r="G304" t="str">
        <f>IFERROR(VLOOKUP(F304,Lista2[],2,FALSE),"")</f>
        <v/>
      </c>
      <c r="H304" s="1" t="str">
        <f>VLOOKUP(Filtro!F304,Comparacao!$G$7:$J$200,3,FALSE)</f>
        <v/>
      </c>
      <c r="I304" s="1" t="str">
        <f>VLOOKUP(Filtro!F304,Comparacao!$G$7:$J$200,4,FALSE)</f>
        <v/>
      </c>
    </row>
    <row r="305" spans="1:9" x14ac:dyDescent="0.25">
      <c r="A305" s="3" t="str">
        <f t="array" ref="A305">IFERROR(INDEX(Comparacao!$A$7:$A$200,SMALL(IF(Comparacao!$E$7:$E$200=$A$2,ROW(Comparacao!$A$7:$A$200)),ROW(301:301))-4,1),"")</f>
        <v/>
      </c>
      <c r="B305" s="3" t="str">
        <f>IFERROR(VLOOKUP(A305,Lista1[],2,FALSE),"")</f>
        <v/>
      </c>
      <c r="C305" s="1" t="str">
        <f>VLOOKUP(Filtro!A305,Comparacao!$A$7:$D$200,3,FALSE)</f>
        <v/>
      </c>
      <c r="D305" s="1" t="str">
        <f>VLOOKUP(Filtro!A305,Comparacao!$A$7:$D$200,4,FALSE)</f>
        <v/>
      </c>
      <c r="F305" t="str">
        <f t="array" ref="F305">IFERROR(INDEX(Comparacao!$G$7:$G$200,SMALL(IF(Comparacao!$K$7:$K$200=$A$2,ROW(Comparacao!$G$7:$G$200)),ROW(301:301))-4,1),"")</f>
        <v/>
      </c>
      <c r="G305" t="str">
        <f>IFERROR(VLOOKUP(F305,Lista2[],2,FALSE),"")</f>
        <v/>
      </c>
      <c r="H305" s="1" t="str">
        <f>VLOOKUP(Filtro!F305,Comparacao!$G$7:$J$200,3,FALSE)</f>
        <v/>
      </c>
      <c r="I305" s="1" t="str">
        <f>VLOOKUP(Filtro!F305,Comparacao!$G$7:$J$200,4,FALSE)</f>
        <v/>
      </c>
    </row>
    <row r="306" spans="1:9" x14ac:dyDescent="0.25">
      <c r="A306" s="3" t="str">
        <f t="array" ref="A306">IFERROR(INDEX(Comparacao!$A$7:$A$200,SMALL(IF(Comparacao!$E$7:$E$200=$A$2,ROW(Comparacao!$A$7:$A$200)),ROW(302:302))-4,1),"")</f>
        <v/>
      </c>
      <c r="B306" s="3" t="str">
        <f>IFERROR(VLOOKUP(A306,Lista1[],2,FALSE),"")</f>
        <v/>
      </c>
      <c r="C306" s="1" t="str">
        <f>VLOOKUP(Filtro!A306,Comparacao!$A$7:$D$200,3,FALSE)</f>
        <v/>
      </c>
      <c r="D306" s="1" t="str">
        <f>VLOOKUP(Filtro!A306,Comparacao!$A$7:$D$200,4,FALSE)</f>
        <v/>
      </c>
      <c r="F306" t="str">
        <f t="array" ref="F306">IFERROR(INDEX(Comparacao!$G$7:$G$200,SMALL(IF(Comparacao!$K$7:$K$200=$A$2,ROW(Comparacao!$G$7:$G$200)),ROW(302:302))-4,1),"")</f>
        <v/>
      </c>
      <c r="G306" t="str">
        <f>IFERROR(VLOOKUP(F306,Lista2[],2,FALSE),"")</f>
        <v/>
      </c>
      <c r="H306" s="1" t="str">
        <f>VLOOKUP(Filtro!F306,Comparacao!$G$7:$J$200,3,FALSE)</f>
        <v/>
      </c>
      <c r="I306" s="1" t="str">
        <f>VLOOKUP(Filtro!F306,Comparacao!$G$7:$J$200,4,FALSE)</f>
        <v/>
      </c>
    </row>
    <row r="307" spans="1:9" x14ac:dyDescent="0.25">
      <c r="A307" s="3" t="str">
        <f t="array" ref="A307">IFERROR(INDEX(Comparacao!$A$7:$A$200,SMALL(IF(Comparacao!$E$7:$E$200=$A$2,ROW(Comparacao!$A$7:$A$200)),ROW(303:303))-4,1),"")</f>
        <v/>
      </c>
      <c r="B307" s="3" t="str">
        <f>IFERROR(VLOOKUP(A307,Lista1[],2,FALSE),"")</f>
        <v/>
      </c>
      <c r="C307" s="1" t="str">
        <f>VLOOKUP(Filtro!A307,Comparacao!$A$7:$D$200,3,FALSE)</f>
        <v/>
      </c>
      <c r="D307" s="1" t="str">
        <f>VLOOKUP(Filtro!A307,Comparacao!$A$7:$D$200,4,FALSE)</f>
        <v/>
      </c>
      <c r="F307" t="str">
        <f t="array" ref="F307">IFERROR(INDEX(Comparacao!$G$7:$G$200,SMALL(IF(Comparacao!$K$7:$K$200=$A$2,ROW(Comparacao!$G$7:$G$200)),ROW(303:303))-4,1),"")</f>
        <v/>
      </c>
      <c r="G307" t="str">
        <f>IFERROR(VLOOKUP(F307,Lista2[],2,FALSE),"")</f>
        <v/>
      </c>
      <c r="H307" s="1" t="str">
        <f>VLOOKUP(Filtro!F307,Comparacao!$G$7:$J$200,3,FALSE)</f>
        <v/>
      </c>
      <c r="I307" s="1" t="str">
        <f>VLOOKUP(Filtro!F307,Comparacao!$G$7:$J$200,4,FALSE)</f>
        <v/>
      </c>
    </row>
    <row r="308" spans="1:9" x14ac:dyDescent="0.25">
      <c r="A308" s="3" t="str">
        <f t="array" ref="A308">IFERROR(INDEX(Comparacao!$A$7:$A$200,SMALL(IF(Comparacao!$E$7:$E$200=$A$2,ROW(Comparacao!$A$7:$A$200)),ROW(304:304))-4,1),"")</f>
        <v/>
      </c>
      <c r="B308" s="3" t="str">
        <f>IFERROR(VLOOKUP(A308,Lista1[],2,FALSE),"")</f>
        <v/>
      </c>
      <c r="C308" s="1" t="str">
        <f>VLOOKUP(Filtro!A308,Comparacao!$A$7:$D$200,3,FALSE)</f>
        <v/>
      </c>
      <c r="D308" s="1" t="str">
        <f>VLOOKUP(Filtro!A308,Comparacao!$A$7:$D$200,4,FALSE)</f>
        <v/>
      </c>
      <c r="F308" t="str">
        <f t="array" ref="F308">IFERROR(INDEX(Comparacao!$G$7:$G$200,SMALL(IF(Comparacao!$K$7:$K$200=$A$2,ROW(Comparacao!$G$7:$G$200)),ROW(304:304))-4,1),"")</f>
        <v/>
      </c>
      <c r="G308" t="str">
        <f>IFERROR(VLOOKUP(F308,Lista2[],2,FALSE),"")</f>
        <v/>
      </c>
      <c r="H308" s="1" t="str">
        <f>VLOOKUP(Filtro!F308,Comparacao!$G$7:$J$200,3,FALSE)</f>
        <v/>
      </c>
      <c r="I308" s="1" t="str">
        <f>VLOOKUP(Filtro!F308,Comparacao!$G$7:$J$200,4,FALSE)</f>
        <v/>
      </c>
    </row>
    <row r="309" spans="1:9" x14ac:dyDescent="0.25">
      <c r="A309" s="3" t="str">
        <f t="array" ref="A309">IFERROR(INDEX(Comparacao!$A$7:$A$200,SMALL(IF(Comparacao!$E$7:$E$200=$A$2,ROW(Comparacao!$A$7:$A$200)),ROW(305:305))-4,1),"")</f>
        <v/>
      </c>
      <c r="B309" s="3" t="str">
        <f>IFERROR(VLOOKUP(A309,Lista1[],2,FALSE),"")</f>
        <v/>
      </c>
      <c r="C309" s="1" t="str">
        <f>VLOOKUP(Filtro!A309,Comparacao!$A$7:$D$200,3,FALSE)</f>
        <v/>
      </c>
      <c r="D309" s="1" t="str">
        <f>VLOOKUP(Filtro!A309,Comparacao!$A$7:$D$200,4,FALSE)</f>
        <v/>
      </c>
      <c r="F309" t="str">
        <f t="array" ref="F309">IFERROR(INDEX(Comparacao!$G$7:$G$200,SMALL(IF(Comparacao!$K$7:$K$200=$A$2,ROW(Comparacao!$G$7:$G$200)),ROW(305:305))-4,1),"")</f>
        <v/>
      </c>
      <c r="G309" t="str">
        <f>IFERROR(VLOOKUP(F309,Lista2[],2,FALSE),"")</f>
        <v/>
      </c>
      <c r="H309" s="1" t="str">
        <f>VLOOKUP(Filtro!F309,Comparacao!$G$7:$J$200,3,FALSE)</f>
        <v/>
      </c>
      <c r="I309" s="1" t="str">
        <f>VLOOKUP(Filtro!F309,Comparacao!$G$7:$J$200,4,FALSE)</f>
        <v/>
      </c>
    </row>
    <row r="310" spans="1:9" x14ac:dyDescent="0.25">
      <c r="A310" s="3" t="str">
        <f t="array" ref="A310">IFERROR(INDEX(Comparacao!$A$7:$A$200,SMALL(IF(Comparacao!$E$7:$E$200=$A$2,ROW(Comparacao!$A$7:$A$200)),ROW(306:306))-4,1),"")</f>
        <v/>
      </c>
      <c r="B310" s="3" t="str">
        <f>IFERROR(VLOOKUP(A310,Lista1[],2,FALSE),"")</f>
        <v/>
      </c>
      <c r="C310" s="1" t="str">
        <f>VLOOKUP(Filtro!A310,Comparacao!$A$7:$D$200,3,FALSE)</f>
        <v/>
      </c>
      <c r="D310" s="1" t="str">
        <f>VLOOKUP(Filtro!A310,Comparacao!$A$7:$D$200,4,FALSE)</f>
        <v/>
      </c>
      <c r="F310" t="str">
        <f t="array" ref="F310">IFERROR(INDEX(Comparacao!$G$7:$G$200,SMALL(IF(Comparacao!$K$7:$K$200=$A$2,ROW(Comparacao!$G$7:$G$200)),ROW(306:306))-4,1),"")</f>
        <v/>
      </c>
      <c r="G310" t="str">
        <f>IFERROR(VLOOKUP(F310,Lista2[],2,FALSE),"")</f>
        <v/>
      </c>
      <c r="H310" s="1" t="str">
        <f>VLOOKUP(Filtro!F310,Comparacao!$G$7:$J$200,3,FALSE)</f>
        <v/>
      </c>
      <c r="I310" s="1" t="str">
        <f>VLOOKUP(Filtro!F310,Comparacao!$G$7:$J$200,4,FALSE)</f>
        <v/>
      </c>
    </row>
    <row r="311" spans="1:9" x14ac:dyDescent="0.25">
      <c r="A311" s="3" t="str">
        <f t="array" ref="A311">IFERROR(INDEX(Comparacao!$A$7:$A$200,SMALL(IF(Comparacao!$E$7:$E$200=$A$2,ROW(Comparacao!$A$7:$A$200)),ROW(307:307))-4,1),"")</f>
        <v/>
      </c>
      <c r="B311" s="3" t="str">
        <f>IFERROR(VLOOKUP(A311,Lista1[],2,FALSE),"")</f>
        <v/>
      </c>
      <c r="C311" s="1" t="str">
        <f>VLOOKUP(Filtro!A311,Comparacao!$A$7:$D$200,3,FALSE)</f>
        <v/>
      </c>
      <c r="D311" s="1" t="str">
        <f>VLOOKUP(Filtro!A311,Comparacao!$A$7:$D$200,4,FALSE)</f>
        <v/>
      </c>
      <c r="F311" t="str">
        <f t="array" ref="F311">IFERROR(INDEX(Comparacao!$G$7:$G$200,SMALL(IF(Comparacao!$K$7:$K$200=$A$2,ROW(Comparacao!$G$7:$G$200)),ROW(307:307))-4,1),"")</f>
        <v/>
      </c>
      <c r="G311" t="str">
        <f>IFERROR(VLOOKUP(F311,Lista2[],2,FALSE),"")</f>
        <v/>
      </c>
      <c r="H311" s="1" t="str">
        <f>VLOOKUP(Filtro!F311,Comparacao!$G$7:$J$200,3,FALSE)</f>
        <v/>
      </c>
      <c r="I311" s="1" t="str">
        <f>VLOOKUP(Filtro!F311,Comparacao!$G$7:$J$200,4,FALSE)</f>
        <v/>
      </c>
    </row>
    <row r="312" spans="1:9" x14ac:dyDescent="0.25">
      <c r="A312" s="3" t="str">
        <f t="array" ref="A312">IFERROR(INDEX(Comparacao!$A$7:$A$200,SMALL(IF(Comparacao!$E$7:$E$200=$A$2,ROW(Comparacao!$A$7:$A$200)),ROW(308:308))-4,1),"")</f>
        <v/>
      </c>
      <c r="B312" s="3" t="str">
        <f>IFERROR(VLOOKUP(A312,Lista1[],2,FALSE),"")</f>
        <v/>
      </c>
      <c r="C312" s="1" t="str">
        <f>VLOOKUP(Filtro!A312,Comparacao!$A$7:$D$200,3,FALSE)</f>
        <v/>
      </c>
      <c r="D312" s="1" t="str">
        <f>VLOOKUP(Filtro!A312,Comparacao!$A$7:$D$200,4,FALSE)</f>
        <v/>
      </c>
      <c r="F312" t="str">
        <f t="array" ref="F312">IFERROR(INDEX(Comparacao!$G$7:$G$200,SMALL(IF(Comparacao!$K$7:$K$200=$A$2,ROW(Comparacao!$G$7:$G$200)),ROW(308:308))-4,1),"")</f>
        <v/>
      </c>
      <c r="G312" t="str">
        <f>IFERROR(VLOOKUP(F312,Lista2[],2,FALSE),"")</f>
        <v/>
      </c>
      <c r="H312" s="1" t="str">
        <f>VLOOKUP(Filtro!F312,Comparacao!$G$7:$J$200,3,FALSE)</f>
        <v/>
      </c>
      <c r="I312" s="1" t="str">
        <f>VLOOKUP(Filtro!F312,Comparacao!$G$7:$J$200,4,FALSE)</f>
        <v/>
      </c>
    </row>
    <row r="313" spans="1:9" x14ac:dyDescent="0.25">
      <c r="A313" s="3" t="str">
        <f t="array" ref="A313">IFERROR(INDEX(Comparacao!$A$7:$A$200,SMALL(IF(Comparacao!$E$7:$E$200=$A$2,ROW(Comparacao!$A$7:$A$200)),ROW(309:309))-4,1),"")</f>
        <v/>
      </c>
      <c r="B313" s="3" t="str">
        <f>IFERROR(VLOOKUP(A313,Lista1[],2,FALSE),"")</f>
        <v/>
      </c>
      <c r="C313" s="1" t="str">
        <f>VLOOKUP(Filtro!A313,Comparacao!$A$7:$D$200,3,FALSE)</f>
        <v/>
      </c>
      <c r="D313" s="1" t="str">
        <f>VLOOKUP(Filtro!A313,Comparacao!$A$7:$D$200,4,FALSE)</f>
        <v/>
      </c>
      <c r="F313" t="str">
        <f t="array" ref="F313">IFERROR(INDEX(Comparacao!$G$7:$G$200,SMALL(IF(Comparacao!$K$7:$K$200=$A$2,ROW(Comparacao!$G$7:$G$200)),ROW(309:309))-4,1),"")</f>
        <v/>
      </c>
      <c r="G313" t="str">
        <f>IFERROR(VLOOKUP(F313,Lista2[],2,FALSE),"")</f>
        <v/>
      </c>
      <c r="H313" s="1" t="str">
        <f>VLOOKUP(Filtro!F313,Comparacao!$G$7:$J$200,3,FALSE)</f>
        <v/>
      </c>
      <c r="I313" s="1" t="str">
        <f>VLOOKUP(Filtro!F313,Comparacao!$G$7:$J$200,4,FALSE)</f>
        <v/>
      </c>
    </row>
    <row r="314" spans="1:9" x14ac:dyDescent="0.25">
      <c r="A314" s="3" t="str">
        <f t="array" ref="A314">IFERROR(INDEX(Comparacao!$A$7:$A$200,SMALL(IF(Comparacao!$E$7:$E$200=$A$2,ROW(Comparacao!$A$7:$A$200)),ROW(310:310))-4,1),"")</f>
        <v/>
      </c>
      <c r="B314" s="3" t="str">
        <f>IFERROR(VLOOKUP(A314,Lista1[],2,FALSE),"")</f>
        <v/>
      </c>
      <c r="C314" s="1" t="str">
        <f>VLOOKUP(Filtro!A314,Comparacao!$A$7:$D$200,3,FALSE)</f>
        <v/>
      </c>
      <c r="D314" s="1" t="str">
        <f>VLOOKUP(Filtro!A314,Comparacao!$A$7:$D$200,4,FALSE)</f>
        <v/>
      </c>
      <c r="F314" t="str">
        <f t="array" ref="F314">IFERROR(INDEX(Comparacao!$G$7:$G$200,SMALL(IF(Comparacao!$K$7:$K$200=$A$2,ROW(Comparacao!$G$7:$G$200)),ROW(310:310))-4,1),"")</f>
        <v/>
      </c>
      <c r="G314" t="str">
        <f>IFERROR(VLOOKUP(F314,Lista2[],2,FALSE),"")</f>
        <v/>
      </c>
      <c r="H314" s="1" t="str">
        <f>VLOOKUP(Filtro!F314,Comparacao!$G$7:$J$200,3,FALSE)</f>
        <v/>
      </c>
      <c r="I314" s="1" t="str">
        <f>VLOOKUP(Filtro!F314,Comparacao!$G$7:$J$200,4,FALSE)</f>
        <v/>
      </c>
    </row>
    <row r="315" spans="1:9" x14ac:dyDescent="0.25">
      <c r="A315" s="3" t="str">
        <f t="array" ref="A315">IFERROR(INDEX(Comparacao!$A$7:$A$200,SMALL(IF(Comparacao!$E$7:$E$200=$A$2,ROW(Comparacao!$A$7:$A$200)),ROW(311:311))-4,1),"")</f>
        <v/>
      </c>
      <c r="B315" s="3" t="str">
        <f>IFERROR(VLOOKUP(A315,Lista1[],2,FALSE),"")</f>
        <v/>
      </c>
      <c r="C315" s="1" t="str">
        <f>VLOOKUP(Filtro!A315,Comparacao!$A$7:$D$200,3,FALSE)</f>
        <v/>
      </c>
      <c r="D315" s="1" t="str">
        <f>VLOOKUP(Filtro!A315,Comparacao!$A$7:$D$200,4,FALSE)</f>
        <v/>
      </c>
      <c r="F315" t="str">
        <f t="array" ref="F315">IFERROR(INDEX(Comparacao!$G$7:$G$200,SMALL(IF(Comparacao!$K$7:$K$200=$A$2,ROW(Comparacao!$G$7:$G$200)),ROW(311:311))-4,1),"")</f>
        <v/>
      </c>
      <c r="G315" t="str">
        <f>IFERROR(VLOOKUP(F315,Lista2[],2,FALSE),"")</f>
        <v/>
      </c>
      <c r="H315" s="1" t="str">
        <f>VLOOKUP(Filtro!F315,Comparacao!$G$7:$J$200,3,FALSE)</f>
        <v/>
      </c>
      <c r="I315" s="1" t="str">
        <f>VLOOKUP(Filtro!F315,Comparacao!$G$7:$J$200,4,FALSE)</f>
        <v/>
      </c>
    </row>
    <row r="316" spans="1:9" x14ac:dyDescent="0.25">
      <c r="A316" s="3" t="str">
        <f t="array" ref="A316">IFERROR(INDEX(Comparacao!$A$7:$A$200,SMALL(IF(Comparacao!$E$7:$E$200=$A$2,ROW(Comparacao!$A$7:$A$200)),ROW(312:312))-4,1),"")</f>
        <v/>
      </c>
      <c r="B316" s="3" t="str">
        <f>IFERROR(VLOOKUP(A316,Lista1[],2,FALSE),"")</f>
        <v/>
      </c>
      <c r="C316" s="1" t="str">
        <f>VLOOKUP(Filtro!A316,Comparacao!$A$7:$D$200,3,FALSE)</f>
        <v/>
      </c>
      <c r="D316" s="1" t="str">
        <f>VLOOKUP(Filtro!A316,Comparacao!$A$7:$D$200,4,FALSE)</f>
        <v/>
      </c>
      <c r="F316" t="str">
        <f t="array" ref="F316">IFERROR(INDEX(Comparacao!$G$7:$G$200,SMALL(IF(Comparacao!$K$7:$K$200=$A$2,ROW(Comparacao!$G$7:$G$200)),ROW(312:312))-4,1),"")</f>
        <v/>
      </c>
      <c r="G316" t="str">
        <f>IFERROR(VLOOKUP(F316,Lista2[],2,FALSE),"")</f>
        <v/>
      </c>
      <c r="H316" s="1" t="str">
        <f>VLOOKUP(Filtro!F316,Comparacao!$G$7:$J$200,3,FALSE)</f>
        <v/>
      </c>
      <c r="I316" s="1" t="str">
        <f>VLOOKUP(Filtro!F316,Comparacao!$G$7:$J$200,4,FALSE)</f>
        <v/>
      </c>
    </row>
    <row r="317" spans="1:9" x14ac:dyDescent="0.25">
      <c r="A317" s="3" t="str">
        <f t="array" ref="A317">IFERROR(INDEX(Comparacao!$A$7:$A$200,SMALL(IF(Comparacao!$E$7:$E$200=$A$2,ROW(Comparacao!$A$7:$A$200)),ROW(313:313))-4,1),"")</f>
        <v/>
      </c>
      <c r="B317" s="3" t="str">
        <f>IFERROR(VLOOKUP(A317,Lista1[],2,FALSE),"")</f>
        <v/>
      </c>
      <c r="C317" s="1" t="str">
        <f>VLOOKUP(Filtro!A317,Comparacao!$A$7:$D$200,3,FALSE)</f>
        <v/>
      </c>
      <c r="D317" s="1" t="str">
        <f>VLOOKUP(Filtro!A317,Comparacao!$A$7:$D$200,4,FALSE)</f>
        <v/>
      </c>
      <c r="F317" t="str">
        <f t="array" ref="F317">IFERROR(INDEX(Comparacao!$G$7:$G$200,SMALL(IF(Comparacao!$K$7:$K$200=$A$2,ROW(Comparacao!$G$7:$G$200)),ROW(313:313))-4,1),"")</f>
        <v/>
      </c>
      <c r="G317" t="str">
        <f>IFERROR(VLOOKUP(F317,Lista2[],2,FALSE),"")</f>
        <v/>
      </c>
      <c r="H317" s="1" t="str">
        <f>VLOOKUP(Filtro!F317,Comparacao!$G$7:$J$200,3,FALSE)</f>
        <v/>
      </c>
      <c r="I317" s="1" t="str">
        <f>VLOOKUP(Filtro!F317,Comparacao!$G$7:$J$200,4,FALSE)</f>
        <v/>
      </c>
    </row>
    <row r="318" spans="1:9" x14ac:dyDescent="0.25">
      <c r="A318" s="3" t="str">
        <f t="array" ref="A318">IFERROR(INDEX(Comparacao!$A$7:$A$200,SMALL(IF(Comparacao!$E$7:$E$200=$A$2,ROW(Comparacao!$A$7:$A$200)),ROW(314:314))-4,1),"")</f>
        <v/>
      </c>
      <c r="B318" s="3" t="str">
        <f>IFERROR(VLOOKUP(A318,Lista1[],2,FALSE),"")</f>
        <v/>
      </c>
      <c r="C318" s="1" t="str">
        <f>VLOOKUP(Filtro!A318,Comparacao!$A$7:$D$200,3,FALSE)</f>
        <v/>
      </c>
      <c r="D318" s="1" t="str">
        <f>VLOOKUP(Filtro!A318,Comparacao!$A$7:$D$200,4,FALSE)</f>
        <v/>
      </c>
      <c r="F318" t="str">
        <f t="array" ref="F318">IFERROR(INDEX(Comparacao!$G$7:$G$200,SMALL(IF(Comparacao!$K$7:$K$200=$A$2,ROW(Comparacao!$G$7:$G$200)),ROW(314:314))-4,1),"")</f>
        <v/>
      </c>
      <c r="G318" t="str">
        <f>IFERROR(VLOOKUP(F318,Lista2[],2,FALSE),"")</f>
        <v/>
      </c>
      <c r="H318" s="1" t="str">
        <f>VLOOKUP(Filtro!F318,Comparacao!$G$7:$J$200,3,FALSE)</f>
        <v/>
      </c>
      <c r="I318" s="1" t="str">
        <f>VLOOKUP(Filtro!F318,Comparacao!$G$7:$J$200,4,FALSE)</f>
        <v/>
      </c>
    </row>
    <row r="319" spans="1:9" x14ac:dyDescent="0.25">
      <c r="A319" s="3" t="str">
        <f t="array" ref="A319">IFERROR(INDEX(Comparacao!$A$7:$A$200,SMALL(IF(Comparacao!$E$7:$E$200=$A$2,ROW(Comparacao!$A$7:$A$200)),ROW(315:315))-4,1),"")</f>
        <v/>
      </c>
      <c r="B319" s="3" t="str">
        <f>IFERROR(VLOOKUP(A319,Lista1[],2,FALSE),"")</f>
        <v/>
      </c>
      <c r="C319" s="1" t="str">
        <f>VLOOKUP(Filtro!A319,Comparacao!$A$7:$D$200,3,FALSE)</f>
        <v/>
      </c>
      <c r="D319" s="1" t="str">
        <f>VLOOKUP(Filtro!A319,Comparacao!$A$7:$D$200,4,FALSE)</f>
        <v/>
      </c>
      <c r="F319" t="str">
        <f t="array" ref="F319">IFERROR(INDEX(Comparacao!$G$7:$G$200,SMALL(IF(Comparacao!$K$7:$K$200=$A$2,ROW(Comparacao!$G$7:$G$200)),ROW(315:315))-4,1),"")</f>
        <v/>
      </c>
      <c r="G319" t="str">
        <f>IFERROR(VLOOKUP(F319,Lista2[],2,FALSE),"")</f>
        <v/>
      </c>
      <c r="H319" s="1" t="str">
        <f>VLOOKUP(Filtro!F319,Comparacao!$G$7:$J$200,3,FALSE)</f>
        <v/>
      </c>
      <c r="I319" s="1" t="str">
        <f>VLOOKUP(Filtro!F319,Comparacao!$G$7:$J$200,4,FALSE)</f>
        <v/>
      </c>
    </row>
    <row r="320" spans="1:9" x14ac:dyDescent="0.25">
      <c r="A320" s="3" t="str">
        <f t="array" ref="A320">IFERROR(INDEX(Comparacao!$A$7:$A$200,SMALL(IF(Comparacao!$E$7:$E$200=$A$2,ROW(Comparacao!$A$7:$A$200)),ROW(316:316))-4,1),"")</f>
        <v/>
      </c>
      <c r="B320" s="3" t="str">
        <f>IFERROR(VLOOKUP(A320,Lista1[],2,FALSE),"")</f>
        <v/>
      </c>
      <c r="C320" s="1" t="str">
        <f>VLOOKUP(Filtro!A320,Comparacao!$A$7:$D$200,3,FALSE)</f>
        <v/>
      </c>
      <c r="D320" s="1" t="str">
        <f>VLOOKUP(Filtro!A320,Comparacao!$A$7:$D$200,4,FALSE)</f>
        <v/>
      </c>
      <c r="F320" t="str">
        <f t="array" ref="F320">IFERROR(INDEX(Comparacao!$G$7:$G$200,SMALL(IF(Comparacao!$K$7:$K$200=$A$2,ROW(Comparacao!$G$7:$G$200)),ROW(316:316))-4,1),"")</f>
        <v/>
      </c>
      <c r="G320" t="str">
        <f>IFERROR(VLOOKUP(F320,Lista2[],2,FALSE),"")</f>
        <v/>
      </c>
      <c r="H320" s="1" t="str">
        <f>VLOOKUP(Filtro!F320,Comparacao!$G$7:$J$200,3,FALSE)</f>
        <v/>
      </c>
      <c r="I320" s="1" t="str">
        <f>VLOOKUP(Filtro!F320,Comparacao!$G$7:$J$200,4,FALSE)</f>
        <v/>
      </c>
    </row>
    <row r="321" spans="1:9" x14ac:dyDescent="0.25">
      <c r="A321" s="3" t="str">
        <f t="array" ref="A321">IFERROR(INDEX(Comparacao!$A$7:$A$200,SMALL(IF(Comparacao!$E$7:$E$200=$A$2,ROW(Comparacao!$A$7:$A$200)),ROW(317:317))-4,1),"")</f>
        <v/>
      </c>
      <c r="B321" s="3" t="str">
        <f>IFERROR(VLOOKUP(A321,Lista1[],2,FALSE),"")</f>
        <v/>
      </c>
      <c r="C321" s="1" t="str">
        <f>VLOOKUP(Filtro!A321,Comparacao!$A$7:$D$200,3,FALSE)</f>
        <v/>
      </c>
      <c r="D321" s="1" t="str">
        <f>VLOOKUP(Filtro!A321,Comparacao!$A$7:$D$200,4,FALSE)</f>
        <v/>
      </c>
      <c r="F321" t="str">
        <f t="array" ref="F321">IFERROR(INDEX(Comparacao!$G$7:$G$200,SMALL(IF(Comparacao!$K$7:$K$200=$A$2,ROW(Comparacao!$G$7:$G$200)),ROW(317:317))-4,1),"")</f>
        <v/>
      </c>
      <c r="G321" t="str">
        <f>IFERROR(VLOOKUP(F321,Lista2[],2,FALSE),"")</f>
        <v/>
      </c>
      <c r="H321" s="1" t="str">
        <f>VLOOKUP(Filtro!F321,Comparacao!$G$7:$J$200,3,FALSE)</f>
        <v/>
      </c>
      <c r="I321" s="1" t="str">
        <f>VLOOKUP(Filtro!F321,Comparacao!$G$7:$J$200,4,FALSE)</f>
        <v/>
      </c>
    </row>
    <row r="322" spans="1:9" x14ac:dyDescent="0.25">
      <c r="A322" s="3" t="str">
        <f t="array" ref="A322">IFERROR(INDEX(Comparacao!$A$7:$A$200,SMALL(IF(Comparacao!$E$7:$E$200=$A$2,ROW(Comparacao!$A$7:$A$200)),ROW(318:318))-4,1),"")</f>
        <v/>
      </c>
      <c r="B322" s="3" t="str">
        <f>IFERROR(VLOOKUP(A322,Lista1[],2,FALSE),"")</f>
        <v/>
      </c>
      <c r="C322" s="1" t="str">
        <f>VLOOKUP(Filtro!A322,Comparacao!$A$7:$D$200,3,FALSE)</f>
        <v/>
      </c>
      <c r="D322" s="1" t="str">
        <f>VLOOKUP(Filtro!A322,Comparacao!$A$7:$D$200,4,FALSE)</f>
        <v/>
      </c>
      <c r="F322" t="str">
        <f t="array" ref="F322">IFERROR(INDEX(Comparacao!$G$7:$G$200,SMALL(IF(Comparacao!$K$7:$K$200=$A$2,ROW(Comparacao!$G$7:$G$200)),ROW(318:318))-4,1),"")</f>
        <v/>
      </c>
      <c r="G322" t="str">
        <f>IFERROR(VLOOKUP(F322,Lista2[],2,FALSE),"")</f>
        <v/>
      </c>
      <c r="H322" s="1" t="str">
        <f>VLOOKUP(Filtro!F322,Comparacao!$G$7:$J$200,3,FALSE)</f>
        <v/>
      </c>
      <c r="I322" s="1" t="str">
        <f>VLOOKUP(Filtro!F322,Comparacao!$G$7:$J$200,4,FALSE)</f>
        <v/>
      </c>
    </row>
    <row r="323" spans="1:9" x14ac:dyDescent="0.25">
      <c r="A323" s="3" t="str">
        <f t="array" ref="A323">IFERROR(INDEX(Comparacao!$A$7:$A$200,SMALL(IF(Comparacao!$E$7:$E$200=$A$2,ROW(Comparacao!$A$7:$A$200)),ROW(319:319))-4,1),"")</f>
        <v/>
      </c>
      <c r="B323" s="3" t="str">
        <f>IFERROR(VLOOKUP(A323,Lista1[],2,FALSE),"")</f>
        <v/>
      </c>
      <c r="C323" s="1" t="str">
        <f>VLOOKUP(Filtro!A323,Comparacao!$A$7:$D$200,3,FALSE)</f>
        <v/>
      </c>
      <c r="D323" s="1" t="str">
        <f>VLOOKUP(Filtro!A323,Comparacao!$A$7:$D$200,4,FALSE)</f>
        <v/>
      </c>
      <c r="F323" t="str">
        <f t="array" ref="F323">IFERROR(INDEX(Comparacao!$G$7:$G$200,SMALL(IF(Comparacao!$K$7:$K$200=$A$2,ROW(Comparacao!$G$7:$G$200)),ROW(319:319))-4,1),"")</f>
        <v/>
      </c>
      <c r="G323" t="str">
        <f>IFERROR(VLOOKUP(F323,Lista2[],2,FALSE),"")</f>
        <v/>
      </c>
      <c r="H323" s="1" t="str">
        <f>VLOOKUP(Filtro!F323,Comparacao!$G$7:$J$200,3,FALSE)</f>
        <v/>
      </c>
      <c r="I323" s="1" t="str">
        <f>VLOOKUP(Filtro!F323,Comparacao!$G$7:$J$200,4,FALSE)</f>
        <v/>
      </c>
    </row>
    <row r="324" spans="1:9" x14ac:dyDescent="0.25">
      <c r="A324" s="3" t="str">
        <f t="array" ref="A324">IFERROR(INDEX(Comparacao!$A$7:$A$200,SMALL(IF(Comparacao!$E$7:$E$200=$A$2,ROW(Comparacao!$A$7:$A$200)),ROW(320:320))-4,1),"")</f>
        <v/>
      </c>
      <c r="B324" s="3" t="str">
        <f>IFERROR(VLOOKUP(A324,Lista1[],2,FALSE),"")</f>
        <v/>
      </c>
      <c r="C324" s="1" t="str">
        <f>VLOOKUP(Filtro!A324,Comparacao!$A$7:$D$200,3,FALSE)</f>
        <v/>
      </c>
      <c r="D324" s="1" t="str">
        <f>VLOOKUP(Filtro!A324,Comparacao!$A$7:$D$200,4,FALSE)</f>
        <v/>
      </c>
      <c r="F324" t="str">
        <f t="array" ref="F324">IFERROR(INDEX(Comparacao!$G$7:$G$200,SMALL(IF(Comparacao!$K$7:$K$200=$A$2,ROW(Comparacao!$G$7:$G$200)),ROW(320:320))-4,1),"")</f>
        <v/>
      </c>
      <c r="G324" t="str">
        <f>IFERROR(VLOOKUP(F324,Lista2[],2,FALSE),"")</f>
        <v/>
      </c>
      <c r="H324" s="1" t="str">
        <f>VLOOKUP(Filtro!F324,Comparacao!$G$7:$J$200,3,FALSE)</f>
        <v/>
      </c>
      <c r="I324" s="1" t="str">
        <f>VLOOKUP(Filtro!F324,Comparacao!$G$7:$J$200,4,FALSE)</f>
        <v/>
      </c>
    </row>
    <row r="325" spans="1:9" x14ac:dyDescent="0.25">
      <c r="A325" s="3" t="str">
        <f t="array" ref="A325">IFERROR(INDEX(Comparacao!$A$7:$A$200,SMALL(IF(Comparacao!$E$7:$E$200=$A$2,ROW(Comparacao!$A$7:$A$200)),ROW(321:321))-4,1),"")</f>
        <v/>
      </c>
      <c r="B325" s="3" t="str">
        <f>IFERROR(VLOOKUP(A325,Lista1[],2,FALSE),"")</f>
        <v/>
      </c>
      <c r="C325" s="1" t="str">
        <f>VLOOKUP(Filtro!A325,Comparacao!$A$7:$D$200,3,FALSE)</f>
        <v/>
      </c>
      <c r="D325" s="1" t="str">
        <f>VLOOKUP(Filtro!A325,Comparacao!$A$7:$D$200,4,FALSE)</f>
        <v/>
      </c>
      <c r="F325" t="str">
        <f t="array" ref="F325">IFERROR(INDEX(Comparacao!$G$7:$G$200,SMALL(IF(Comparacao!$K$7:$K$200=$A$2,ROW(Comparacao!$G$7:$G$200)),ROW(321:321))-4,1),"")</f>
        <v/>
      </c>
      <c r="G325" t="str">
        <f>IFERROR(VLOOKUP(F325,Lista2[],2,FALSE),"")</f>
        <v/>
      </c>
      <c r="H325" s="1" t="str">
        <f>VLOOKUP(Filtro!F325,Comparacao!$G$7:$J$200,3,FALSE)</f>
        <v/>
      </c>
      <c r="I325" s="1" t="str">
        <f>VLOOKUP(Filtro!F325,Comparacao!$G$7:$J$200,4,FALSE)</f>
        <v/>
      </c>
    </row>
    <row r="326" spans="1:9" x14ac:dyDescent="0.25">
      <c r="A326" s="3" t="str">
        <f t="array" ref="A326">IFERROR(INDEX(Comparacao!$A$7:$A$200,SMALL(IF(Comparacao!$E$7:$E$200=$A$2,ROW(Comparacao!$A$7:$A$200)),ROW(322:322))-4,1),"")</f>
        <v/>
      </c>
      <c r="B326" s="3" t="str">
        <f>IFERROR(VLOOKUP(A326,Lista1[],2,FALSE),"")</f>
        <v/>
      </c>
      <c r="C326" s="1" t="str">
        <f>VLOOKUP(Filtro!A326,Comparacao!$A$7:$D$200,3,FALSE)</f>
        <v/>
      </c>
      <c r="D326" s="1" t="str">
        <f>VLOOKUP(Filtro!A326,Comparacao!$A$7:$D$200,4,FALSE)</f>
        <v/>
      </c>
      <c r="F326" t="str">
        <f t="array" ref="F326">IFERROR(INDEX(Comparacao!$G$7:$G$200,SMALL(IF(Comparacao!$K$7:$K$200=$A$2,ROW(Comparacao!$G$7:$G$200)),ROW(322:322))-4,1),"")</f>
        <v/>
      </c>
      <c r="G326" t="str">
        <f>IFERROR(VLOOKUP(F326,Lista2[],2,FALSE),"")</f>
        <v/>
      </c>
      <c r="H326" s="1" t="str">
        <f>VLOOKUP(Filtro!F326,Comparacao!$G$7:$J$200,3,FALSE)</f>
        <v/>
      </c>
      <c r="I326" s="1" t="str">
        <f>VLOOKUP(Filtro!F326,Comparacao!$G$7:$J$200,4,FALSE)</f>
        <v/>
      </c>
    </row>
    <row r="327" spans="1:9" x14ac:dyDescent="0.25">
      <c r="A327" s="3" t="str">
        <f t="array" ref="A327">IFERROR(INDEX(Comparacao!$A$7:$A$200,SMALL(IF(Comparacao!$E$7:$E$200=$A$2,ROW(Comparacao!$A$7:$A$200)),ROW(323:323))-4,1),"")</f>
        <v/>
      </c>
      <c r="B327" s="3" t="str">
        <f>IFERROR(VLOOKUP(A327,Lista1[],2,FALSE),"")</f>
        <v/>
      </c>
      <c r="C327" s="1" t="str">
        <f>VLOOKUP(Filtro!A327,Comparacao!$A$7:$D$200,3,FALSE)</f>
        <v/>
      </c>
      <c r="D327" s="1" t="str">
        <f>VLOOKUP(Filtro!A327,Comparacao!$A$7:$D$200,4,FALSE)</f>
        <v/>
      </c>
      <c r="F327" t="str">
        <f t="array" ref="F327">IFERROR(INDEX(Comparacao!$G$7:$G$200,SMALL(IF(Comparacao!$K$7:$K$200=$A$2,ROW(Comparacao!$G$7:$G$200)),ROW(323:323))-4,1),"")</f>
        <v/>
      </c>
      <c r="G327" t="str">
        <f>IFERROR(VLOOKUP(F327,Lista2[],2,FALSE),"")</f>
        <v/>
      </c>
      <c r="H327" s="1" t="str">
        <f>VLOOKUP(Filtro!F327,Comparacao!$G$7:$J$200,3,FALSE)</f>
        <v/>
      </c>
      <c r="I327" s="1" t="str">
        <f>VLOOKUP(Filtro!F327,Comparacao!$G$7:$J$200,4,FALSE)</f>
        <v/>
      </c>
    </row>
    <row r="328" spans="1:9" x14ac:dyDescent="0.25">
      <c r="A328" s="3" t="str">
        <f t="array" ref="A328">IFERROR(INDEX(Comparacao!$A$7:$A$200,SMALL(IF(Comparacao!$E$7:$E$200=$A$2,ROW(Comparacao!$A$7:$A$200)),ROW(324:324))-4,1),"")</f>
        <v/>
      </c>
      <c r="B328" s="3" t="str">
        <f>IFERROR(VLOOKUP(A328,Lista1[],2,FALSE),"")</f>
        <v/>
      </c>
      <c r="C328" s="1" t="str">
        <f>VLOOKUP(Filtro!A328,Comparacao!$A$7:$D$200,3,FALSE)</f>
        <v/>
      </c>
      <c r="D328" s="1" t="str">
        <f>VLOOKUP(Filtro!A328,Comparacao!$A$7:$D$200,4,FALSE)</f>
        <v/>
      </c>
      <c r="F328" t="str">
        <f t="array" ref="F328">IFERROR(INDEX(Comparacao!$G$7:$G$200,SMALL(IF(Comparacao!$K$7:$K$200=$A$2,ROW(Comparacao!$G$7:$G$200)),ROW(324:324))-4,1),"")</f>
        <v/>
      </c>
      <c r="G328" t="str">
        <f>IFERROR(VLOOKUP(F328,Lista2[],2,FALSE),"")</f>
        <v/>
      </c>
      <c r="H328" s="1" t="str">
        <f>VLOOKUP(Filtro!F328,Comparacao!$G$7:$J$200,3,FALSE)</f>
        <v/>
      </c>
      <c r="I328" s="1" t="str">
        <f>VLOOKUP(Filtro!F328,Comparacao!$G$7:$J$200,4,FALSE)</f>
        <v/>
      </c>
    </row>
    <row r="329" spans="1:9" x14ac:dyDescent="0.25">
      <c r="A329" s="3" t="str">
        <f t="array" ref="A329">IFERROR(INDEX(Comparacao!$A$7:$A$200,SMALL(IF(Comparacao!$E$7:$E$200=$A$2,ROW(Comparacao!$A$7:$A$200)),ROW(325:325))-4,1),"")</f>
        <v/>
      </c>
      <c r="B329" s="3" t="str">
        <f>IFERROR(VLOOKUP(A329,Lista1[],2,FALSE),"")</f>
        <v/>
      </c>
      <c r="C329" s="1" t="str">
        <f>VLOOKUP(Filtro!A329,Comparacao!$A$7:$D$200,3,FALSE)</f>
        <v/>
      </c>
      <c r="D329" s="1" t="str">
        <f>VLOOKUP(Filtro!A329,Comparacao!$A$7:$D$200,4,FALSE)</f>
        <v/>
      </c>
      <c r="F329" t="str">
        <f t="array" ref="F329">IFERROR(INDEX(Comparacao!$G$7:$G$200,SMALL(IF(Comparacao!$K$7:$K$200=$A$2,ROW(Comparacao!$G$7:$G$200)),ROW(325:325))-4,1),"")</f>
        <v/>
      </c>
      <c r="G329" t="str">
        <f>IFERROR(VLOOKUP(F329,Lista2[],2,FALSE),"")</f>
        <v/>
      </c>
      <c r="H329" s="1" t="str">
        <f>VLOOKUP(Filtro!F329,Comparacao!$G$7:$J$200,3,FALSE)</f>
        <v/>
      </c>
      <c r="I329" s="1" t="str">
        <f>VLOOKUP(Filtro!F329,Comparacao!$G$7:$J$200,4,FALSE)</f>
        <v/>
      </c>
    </row>
    <row r="330" spans="1:9" x14ac:dyDescent="0.25">
      <c r="A330" s="3" t="str">
        <f t="array" ref="A330">IFERROR(INDEX(Comparacao!$A$7:$A$200,SMALL(IF(Comparacao!$E$7:$E$200=$A$2,ROW(Comparacao!$A$7:$A$200)),ROW(326:326))-4,1),"")</f>
        <v/>
      </c>
      <c r="B330" s="3" t="str">
        <f>IFERROR(VLOOKUP(A330,Lista1[],2,FALSE),"")</f>
        <v/>
      </c>
      <c r="C330" s="1" t="str">
        <f>VLOOKUP(Filtro!A330,Comparacao!$A$7:$D$200,3,FALSE)</f>
        <v/>
      </c>
      <c r="D330" s="1" t="str">
        <f>VLOOKUP(Filtro!A330,Comparacao!$A$7:$D$200,4,FALSE)</f>
        <v/>
      </c>
      <c r="F330" t="str">
        <f t="array" ref="F330">IFERROR(INDEX(Comparacao!$G$7:$G$200,SMALL(IF(Comparacao!$K$7:$K$200=$A$2,ROW(Comparacao!$G$7:$G$200)),ROW(326:326))-4,1),"")</f>
        <v/>
      </c>
      <c r="G330" t="str">
        <f>IFERROR(VLOOKUP(F330,Lista2[],2,FALSE),"")</f>
        <v/>
      </c>
      <c r="H330" s="1" t="str">
        <f>VLOOKUP(Filtro!F330,Comparacao!$G$7:$J$200,3,FALSE)</f>
        <v/>
      </c>
      <c r="I330" s="1" t="str">
        <f>VLOOKUP(Filtro!F330,Comparacao!$G$7:$J$200,4,FALSE)</f>
        <v/>
      </c>
    </row>
    <row r="331" spans="1:9" x14ac:dyDescent="0.25">
      <c r="A331" s="3" t="str">
        <f t="array" ref="A331">IFERROR(INDEX(Comparacao!$A$7:$A$200,SMALL(IF(Comparacao!$E$7:$E$200=$A$2,ROW(Comparacao!$A$7:$A$200)),ROW(327:327))-4,1),"")</f>
        <v/>
      </c>
      <c r="B331" s="3" t="str">
        <f>IFERROR(VLOOKUP(A331,Lista1[],2,FALSE),"")</f>
        <v/>
      </c>
      <c r="C331" s="1" t="str">
        <f>VLOOKUP(Filtro!A331,Comparacao!$A$7:$D$200,3,FALSE)</f>
        <v/>
      </c>
      <c r="D331" s="1" t="str">
        <f>VLOOKUP(Filtro!A331,Comparacao!$A$7:$D$200,4,FALSE)</f>
        <v/>
      </c>
      <c r="F331" t="str">
        <f t="array" ref="F331">IFERROR(INDEX(Comparacao!$G$7:$G$200,SMALL(IF(Comparacao!$K$7:$K$200=$A$2,ROW(Comparacao!$G$7:$G$200)),ROW(327:327))-4,1),"")</f>
        <v/>
      </c>
      <c r="G331" t="str">
        <f>IFERROR(VLOOKUP(F331,Lista2[],2,FALSE),"")</f>
        <v/>
      </c>
      <c r="H331" s="1" t="str">
        <f>VLOOKUP(Filtro!F331,Comparacao!$G$7:$J$200,3,FALSE)</f>
        <v/>
      </c>
      <c r="I331" s="1" t="str">
        <f>VLOOKUP(Filtro!F331,Comparacao!$G$7:$J$200,4,FALSE)</f>
        <v/>
      </c>
    </row>
    <row r="332" spans="1:9" x14ac:dyDescent="0.25">
      <c r="A332" s="3" t="str">
        <f t="array" ref="A332">IFERROR(INDEX(Comparacao!$A$7:$A$200,SMALL(IF(Comparacao!$E$7:$E$200=$A$2,ROW(Comparacao!$A$7:$A$200)),ROW(328:328))-4,1),"")</f>
        <v/>
      </c>
      <c r="B332" s="3" t="str">
        <f>IFERROR(VLOOKUP(A332,Lista1[],2,FALSE),"")</f>
        <v/>
      </c>
      <c r="C332" s="1" t="str">
        <f>VLOOKUP(Filtro!A332,Comparacao!$A$7:$D$200,3,FALSE)</f>
        <v/>
      </c>
      <c r="D332" s="1" t="str">
        <f>VLOOKUP(Filtro!A332,Comparacao!$A$7:$D$200,4,FALSE)</f>
        <v/>
      </c>
      <c r="F332" t="str">
        <f t="array" ref="F332">IFERROR(INDEX(Comparacao!$G$7:$G$200,SMALL(IF(Comparacao!$K$7:$K$200=$A$2,ROW(Comparacao!$G$7:$G$200)),ROW(328:328))-4,1),"")</f>
        <v/>
      </c>
      <c r="G332" t="str">
        <f>IFERROR(VLOOKUP(F332,Lista2[],2,FALSE),"")</f>
        <v/>
      </c>
      <c r="H332" s="1" t="str">
        <f>VLOOKUP(Filtro!F332,Comparacao!$G$7:$J$200,3,FALSE)</f>
        <v/>
      </c>
      <c r="I332" s="1" t="str">
        <f>VLOOKUP(Filtro!F332,Comparacao!$G$7:$J$200,4,FALSE)</f>
        <v/>
      </c>
    </row>
    <row r="333" spans="1:9" x14ac:dyDescent="0.25">
      <c r="A333" s="3" t="str">
        <f t="array" ref="A333">IFERROR(INDEX(Comparacao!$A$7:$A$200,SMALL(IF(Comparacao!$E$7:$E$200=$A$2,ROW(Comparacao!$A$7:$A$200)),ROW(329:329))-4,1),"")</f>
        <v/>
      </c>
      <c r="B333" s="3" t="str">
        <f>IFERROR(VLOOKUP(A333,Lista1[],2,FALSE),"")</f>
        <v/>
      </c>
      <c r="C333" s="1" t="str">
        <f>VLOOKUP(Filtro!A333,Comparacao!$A$7:$D$200,3,FALSE)</f>
        <v/>
      </c>
      <c r="D333" s="1" t="str">
        <f>VLOOKUP(Filtro!A333,Comparacao!$A$7:$D$200,4,FALSE)</f>
        <v/>
      </c>
      <c r="F333" t="str">
        <f t="array" ref="F333">IFERROR(INDEX(Comparacao!$G$7:$G$200,SMALL(IF(Comparacao!$K$7:$K$200=$A$2,ROW(Comparacao!$G$7:$G$200)),ROW(329:329))-4,1),"")</f>
        <v/>
      </c>
      <c r="G333" t="str">
        <f>IFERROR(VLOOKUP(F333,Lista2[],2,FALSE),"")</f>
        <v/>
      </c>
      <c r="H333" s="1" t="str">
        <f>VLOOKUP(Filtro!F333,Comparacao!$G$7:$J$200,3,FALSE)</f>
        <v/>
      </c>
      <c r="I333" s="1" t="str">
        <f>VLOOKUP(Filtro!F333,Comparacao!$G$7:$J$200,4,FALSE)</f>
        <v/>
      </c>
    </row>
    <row r="334" spans="1:9" x14ac:dyDescent="0.25">
      <c r="A334" s="3" t="str">
        <f t="array" ref="A334">IFERROR(INDEX(Comparacao!$A$7:$A$200,SMALL(IF(Comparacao!$E$7:$E$200=$A$2,ROW(Comparacao!$A$7:$A$200)),ROW(330:330))-4,1),"")</f>
        <v/>
      </c>
      <c r="B334" s="3" t="str">
        <f>IFERROR(VLOOKUP(A334,Lista1[],2,FALSE),"")</f>
        <v/>
      </c>
      <c r="C334" s="1" t="str">
        <f>VLOOKUP(Filtro!A334,Comparacao!$A$7:$D$200,3,FALSE)</f>
        <v/>
      </c>
      <c r="D334" s="1" t="str">
        <f>VLOOKUP(Filtro!A334,Comparacao!$A$7:$D$200,4,FALSE)</f>
        <v/>
      </c>
      <c r="F334" t="str">
        <f t="array" ref="F334">IFERROR(INDEX(Comparacao!$G$7:$G$200,SMALL(IF(Comparacao!$K$7:$K$200=$A$2,ROW(Comparacao!$G$7:$G$200)),ROW(330:330))-4,1),"")</f>
        <v/>
      </c>
      <c r="G334" t="str">
        <f>IFERROR(VLOOKUP(F334,Lista2[],2,FALSE),"")</f>
        <v/>
      </c>
      <c r="H334" s="1" t="str">
        <f>VLOOKUP(Filtro!F334,Comparacao!$G$7:$J$200,3,FALSE)</f>
        <v/>
      </c>
      <c r="I334" s="1" t="str">
        <f>VLOOKUP(Filtro!F334,Comparacao!$G$7:$J$200,4,FALSE)</f>
        <v/>
      </c>
    </row>
    <row r="335" spans="1:9" x14ac:dyDescent="0.25">
      <c r="A335" s="3" t="str">
        <f t="array" ref="A335">IFERROR(INDEX(Comparacao!$A$7:$A$200,SMALL(IF(Comparacao!$E$7:$E$200=$A$2,ROW(Comparacao!$A$7:$A$200)),ROW(331:331))-4,1),"")</f>
        <v/>
      </c>
      <c r="B335" s="3" t="str">
        <f>IFERROR(VLOOKUP(A335,Lista1[],2,FALSE),"")</f>
        <v/>
      </c>
      <c r="C335" s="1" t="str">
        <f>VLOOKUP(Filtro!A335,Comparacao!$A$7:$D$200,3,FALSE)</f>
        <v/>
      </c>
      <c r="D335" s="1" t="str">
        <f>VLOOKUP(Filtro!A335,Comparacao!$A$7:$D$200,4,FALSE)</f>
        <v/>
      </c>
      <c r="F335" t="str">
        <f t="array" ref="F335">IFERROR(INDEX(Comparacao!$G$7:$G$200,SMALL(IF(Comparacao!$K$7:$K$200=$A$2,ROW(Comparacao!$G$7:$G$200)),ROW(331:331))-4,1),"")</f>
        <v/>
      </c>
      <c r="G335" t="str">
        <f>IFERROR(VLOOKUP(F335,Lista2[],2,FALSE),"")</f>
        <v/>
      </c>
      <c r="H335" s="1" t="str">
        <f>VLOOKUP(Filtro!F335,Comparacao!$G$7:$J$200,3,FALSE)</f>
        <v/>
      </c>
      <c r="I335" s="1" t="str">
        <f>VLOOKUP(Filtro!F335,Comparacao!$G$7:$J$200,4,FALSE)</f>
        <v/>
      </c>
    </row>
    <row r="336" spans="1:9" x14ac:dyDescent="0.25">
      <c r="A336" s="3" t="str">
        <f t="array" ref="A336">IFERROR(INDEX(Comparacao!$A$7:$A$200,SMALL(IF(Comparacao!$E$7:$E$200=$A$2,ROW(Comparacao!$A$7:$A$200)),ROW(332:332))-4,1),"")</f>
        <v/>
      </c>
      <c r="B336" s="3" t="str">
        <f>IFERROR(VLOOKUP(A336,Lista1[],2,FALSE),"")</f>
        <v/>
      </c>
      <c r="C336" s="1" t="str">
        <f>VLOOKUP(Filtro!A336,Comparacao!$A$7:$D$200,3,FALSE)</f>
        <v/>
      </c>
      <c r="D336" s="1" t="str">
        <f>VLOOKUP(Filtro!A336,Comparacao!$A$7:$D$200,4,FALSE)</f>
        <v/>
      </c>
      <c r="F336" t="str">
        <f t="array" ref="F336">IFERROR(INDEX(Comparacao!$G$7:$G$200,SMALL(IF(Comparacao!$K$7:$K$200=$A$2,ROW(Comparacao!$G$7:$G$200)),ROW(332:332))-4,1),"")</f>
        <v/>
      </c>
      <c r="G336" t="str">
        <f>IFERROR(VLOOKUP(F336,Lista2[],2,FALSE),"")</f>
        <v/>
      </c>
      <c r="H336" s="1" t="str">
        <f>VLOOKUP(Filtro!F336,Comparacao!$G$7:$J$200,3,FALSE)</f>
        <v/>
      </c>
      <c r="I336" s="1" t="str">
        <f>VLOOKUP(Filtro!F336,Comparacao!$G$7:$J$200,4,FALSE)</f>
        <v/>
      </c>
    </row>
    <row r="337" spans="1:9" x14ac:dyDescent="0.25">
      <c r="A337" s="3" t="str">
        <f t="array" ref="A337">IFERROR(INDEX(Comparacao!$A$7:$A$200,SMALL(IF(Comparacao!$E$7:$E$200=$A$2,ROW(Comparacao!$A$7:$A$200)),ROW(333:333))-4,1),"")</f>
        <v/>
      </c>
      <c r="B337" s="3" t="str">
        <f>IFERROR(VLOOKUP(A337,Lista1[],2,FALSE),"")</f>
        <v/>
      </c>
      <c r="C337" s="1" t="str">
        <f>VLOOKUP(Filtro!A337,Comparacao!$A$7:$D$200,3,FALSE)</f>
        <v/>
      </c>
      <c r="D337" s="1" t="str">
        <f>VLOOKUP(Filtro!A337,Comparacao!$A$7:$D$200,4,FALSE)</f>
        <v/>
      </c>
      <c r="F337" t="str">
        <f t="array" ref="F337">IFERROR(INDEX(Comparacao!$G$7:$G$200,SMALL(IF(Comparacao!$K$7:$K$200=$A$2,ROW(Comparacao!$G$7:$G$200)),ROW(333:333))-4,1),"")</f>
        <v/>
      </c>
      <c r="G337" t="str">
        <f>IFERROR(VLOOKUP(F337,Lista2[],2,FALSE),"")</f>
        <v/>
      </c>
      <c r="H337" s="1" t="str">
        <f>VLOOKUP(Filtro!F337,Comparacao!$G$7:$J$200,3,FALSE)</f>
        <v/>
      </c>
      <c r="I337" s="1" t="str">
        <f>VLOOKUP(Filtro!F337,Comparacao!$G$7:$J$200,4,FALSE)</f>
        <v/>
      </c>
    </row>
    <row r="338" spans="1:9" x14ac:dyDescent="0.25">
      <c r="A338" s="3" t="str">
        <f t="array" ref="A338">IFERROR(INDEX(Comparacao!$A$7:$A$200,SMALL(IF(Comparacao!$E$7:$E$200=$A$2,ROW(Comparacao!$A$7:$A$200)),ROW(334:334))-4,1),"")</f>
        <v/>
      </c>
      <c r="B338" s="3" t="str">
        <f>IFERROR(VLOOKUP(A338,Lista1[],2,FALSE),"")</f>
        <v/>
      </c>
      <c r="C338" s="1" t="str">
        <f>VLOOKUP(Filtro!A338,Comparacao!$A$7:$D$200,3,FALSE)</f>
        <v/>
      </c>
      <c r="D338" s="1" t="str">
        <f>VLOOKUP(Filtro!A338,Comparacao!$A$7:$D$200,4,FALSE)</f>
        <v/>
      </c>
      <c r="F338" t="str">
        <f t="array" ref="F338">IFERROR(INDEX(Comparacao!$G$7:$G$200,SMALL(IF(Comparacao!$K$7:$K$200=$A$2,ROW(Comparacao!$G$7:$G$200)),ROW(334:334))-4,1),"")</f>
        <v/>
      </c>
      <c r="G338" t="str">
        <f>IFERROR(VLOOKUP(F338,Lista2[],2,FALSE),"")</f>
        <v/>
      </c>
      <c r="H338" s="1" t="str">
        <f>VLOOKUP(Filtro!F338,Comparacao!$G$7:$J$200,3,FALSE)</f>
        <v/>
      </c>
      <c r="I338" s="1" t="str">
        <f>VLOOKUP(Filtro!F338,Comparacao!$G$7:$J$200,4,FALSE)</f>
        <v/>
      </c>
    </row>
    <row r="339" spans="1:9" x14ac:dyDescent="0.25">
      <c r="A339" s="3" t="str">
        <f t="array" ref="A339">IFERROR(INDEX(Comparacao!$A$7:$A$200,SMALL(IF(Comparacao!$E$7:$E$200=$A$2,ROW(Comparacao!$A$7:$A$200)),ROW(335:335))-4,1),"")</f>
        <v/>
      </c>
      <c r="B339" s="3" t="str">
        <f>IFERROR(VLOOKUP(A339,Lista1[],2,FALSE),"")</f>
        <v/>
      </c>
      <c r="C339" s="1" t="str">
        <f>VLOOKUP(Filtro!A339,Comparacao!$A$7:$D$200,3,FALSE)</f>
        <v/>
      </c>
      <c r="D339" s="1" t="str">
        <f>VLOOKUP(Filtro!A339,Comparacao!$A$7:$D$200,4,FALSE)</f>
        <v/>
      </c>
      <c r="F339" t="str">
        <f t="array" ref="F339">IFERROR(INDEX(Comparacao!$G$7:$G$200,SMALL(IF(Comparacao!$K$7:$K$200=$A$2,ROW(Comparacao!$G$7:$G$200)),ROW(335:335))-4,1),"")</f>
        <v/>
      </c>
      <c r="G339" t="str">
        <f>IFERROR(VLOOKUP(F339,Lista2[],2,FALSE),"")</f>
        <v/>
      </c>
      <c r="H339" s="1" t="str">
        <f>VLOOKUP(Filtro!F339,Comparacao!$G$7:$J$200,3,FALSE)</f>
        <v/>
      </c>
      <c r="I339" s="1" t="str">
        <f>VLOOKUP(Filtro!F339,Comparacao!$G$7:$J$200,4,FALSE)</f>
        <v/>
      </c>
    </row>
    <row r="340" spans="1:9" x14ac:dyDescent="0.25">
      <c r="A340" s="3" t="str">
        <f t="array" ref="A340">IFERROR(INDEX(Comparacao!$A$7:$A$200,SMALL(IF(Comparacao!$E$7:$E$200=$A$2,ROW(Comparacao!$A$7:$A$200)),ROW(336:336))-4,1),"")</f>
        <v/>
      </c>
      <c r="B340" s="3" t="str">
        <f>IFERROR(VLOOKUP(A340,Lista1[],2,FALSE),"")</f>
        <v/>
      </c>
      <c r="C340" s="1" t="str">
        <f>VLOOKUP(Filtro!A340,Comparacao!$A$7:$D$200,3,FALSE)</f>
        <v/>
      </c>
      <c r="D340" s="1" t="str">
        <f>VLOOKUP(Filtro!A340,Comparacao!$A$7:$D$200,4,FALSE)</f>
        <v/>
      </c>
      <c r="F340" t="str">
        <f t="array" ref="F340">IFERROR(INDEX(Comparacao!$G$7:$G$200,SMALL(IF(Comparacao!$K$7:$K$200=$A$2,ROW(Comparacao!$G$7:$G$200)),ROW(336:336))-4,1),"")</f>
        <v/>
      </c>
      <c r="G340" t="str">
        <f>IFERROR(VLOOKUP(F340,Lista2[],2,FALSE),"")</f>
        <v/>
      </c>
      <c r="H340" s="1" t="str">
        <f>VLOOKUP(Filtro!F340,Comparacao!$G$7:$J$200,3,FALSE)</f>
        <v/>
      </c>
      <c r="I340" s="1" t="str">
        <f>VLOOKUP(Filtro!F340,Comparacao!$G$7:$J$200,4,FALSE)</f>
        <v/>
      </c>
    </row>
    <row r="341" spans="1:9" x14ac:dyDescent="0.25">
      <c r="A341" s="3" t="str">
        <f t="array" ref="A341">IFERROR(INDEX(Comparacao!$A$7:$A$200,SMALL(IF(Comparacao!$E$7:$E$200=$A$2,ROW(Comparacao!$A$7:$A$200)),ROW(337:337))-4,1),"")</f>
        <v/>
      </c>
      <c r="B341" s="3" t="str">
        <f>IFERROR(VLOOKUP(A341,Lista1[],2,FALSE),"")</f>
        <v/>
      </c>
      <c r="C341" s="1" t="str">
        <f>VLOOKUP(Filtro!A341,Comparacao!$A$7:$D$200,3,FALSE)</f>
        <v/>
      </c>
      <c r="D341" s="1" t="str">
        <f>VLOOKUP(Filtro!A341,Comparacao!$A$7:$D$200,4,FALSE)</f>
        <v/>
      </c>
      <c r="F341" t="str">
        <f t="array" ref="F341">IFERROR(INDEX(Comparacao!$G$7:$G$200,SMALL(IF(Comparacao!$K$7:$K$200=$A$2,ROW(Comparacao!$G$7:$G$200)),ROW(337:337))-4,1),"")</f>
        <v/>
      </c>
      <c r="G341" t="str">
        <f>IFERROR(VLOOKUP(F341,Lista2[],2,FALSE),"")</f>
        <v/>
      </c>
      <c r="H341" s="1" t="str">
        <f>VLOOKUP(Filtro!F341,Comparacao!$G$7:$J$200,3,FALSE)</f>
        <v/>
      </c>
      <c r="I341" s="1" t="str">
        <f>VLOOKUP(Filtro!F341,Comparacao!$G$7:$J$200,4,FALSE)</f>
        <v/>
      </c>
    </row>
    <row r="342" spans="1:9" x14ac:dyDescent="0.25">
      <c r="A342" s="3" t="str">
        <f t="array" ref="A342">IFERROR(INDEX(Comparacao!$A$7:$A$200,SMALL(IF(Comparacao!$E$7:$E$200=$A$2,ROW(Comparacao!$A$7:$A$200)),ROW(338:338))-4,1),"")</f>
        <v/>
      </c>
      <c r="B342" s="3" t="str">
        <f>IFERROR(VLOOKUP(A342,Lista1[],2,FALSE),"")</f>
        <v/>
      </c>
      <c r="C342" s="1" t="str">
        <f>VLOOKUP(Filtro!A342,Comparacao!$A$7:$D$200,3,FALSE)</f>
        <v/>
      </c>
      <c r="D342" s="1" t="str">
        <f>VLOOKUP(Filtro!A342,Comparacao!$A$7:$D$200,4,FALSE)</f>
        <v/>
      </c>
      <c r="F342" t="str">
        <f t="array" ref="F342">IFERROR(INDEX(Comparacao!$G$7:$G$200,SMALL(IF(Comparacao!$K$7:$K$200=$A$2,ROW(Comparacao!$G$7:$G$200)),ROW(338:338))-4,1),"")</f>
        <v/>
      </c>
      <c r="G342" t="str">
        <f>IFERROR(VLOOKUP(F342,Lista2[],2,FALSE),"")</f>
        <v/>
      </c>
      <c r="H342" s="1" t="str">
        <f>VLOOKUP(Filtro!F342,Comparacao!$G$7:$J$200,3,FALSE)</f>
        <v/>
      </c>
      <c r="I342" s="1" t="str">
        <f>VLOOKUP(Filtro!F342,Comparacao!$G$7:$J$200,4,FALSE)</f>
        <v/>
      </c>
    </row>
    <row r="343" spans="1:9" x14ac:dyDescent="0.25">
      <c r="A343" s="3" t="str">
        <f t="array" ref="A343">IFERROR(INDEX(Comparacao!$A$7:$A$200,SMALL(IF(Comparacao!$E$7:$E$200=$A$2,ROW(Comparacao!$A$7:$A$200)),ROW(339:339))-4,1),"")</f>
        <v/>
      </c>
      <c r="B343" s="3" t="str">
        <f>IFERROR(VLOOKUP(A343,Lista1[],2,FALSE),"")</f>
        <v/>
      </c>
      <c r="C343" s="1" t="str">
        <f>VLOOKUP(Filtro!A343,Comparacao!$A$7:$D$200,3,FALSE)</f>
        <v/>
      </c>
      <c r="D343" s="1" t="str">
        <f>VLOOKUP(Filtro!A343,Comparacao!$A$7:$D$200,4,FALSE)</f>
        <v/>
      </c>
      <c r="F343" t="str">
        <f t="array" ref="F343">IFERROR(INDEX(Comparacao!$G$7:$G$200,SMALL(IF(Comparacao!$K$7:$K$200=$A$2,ROW(Comparacao!$G$7:$G$200)),ROW(339:339))-4,1),"")</f>
        <v/>
      </c>
      <c r="G343" t="str">
        <f>IFERROR(VLOOKUP(F343,Lista2[],2,FALSE),"")</f>
        <v/>
      </c>
      <c r="H343" s="1" t="str">
        <f>VLOOKUP(Filtro!F343,Comparacao!$G$7:$J$200,3,FALSE)</f>
        <v/>
      </c>
      <c r="I343" s="1" t="str">
        <f>VLOOKUP(Filtro!F343,Comparacao!$G$7:$J$200,4,FALSE)</f>
        <v/>
      </c>
    </row>
    <row r="344" spans="1:9" x14ac:dyDescent="0.25">
      <c r="A344" s="3" t="str">
        <f t="array" ref="A344">IFERROR(INDEX(Comparacao!$A$7:$A$200,SMALL(IF(Comparacao!$E$7:$E$200=$A$2,ROW(Comparacao!$A$7:$A$200)),ROW(340:340))-4,1),"")</f>
        <v/>
      </c>
      <c r="B344" s="3" t="str">
        <f>IFERROR(VLOOKUP(A344,Lista1[],2,FALSE),"")</f>
        <v/>
      </c>
      <c r="C344" s="1" t="str">
        <f>VLOOKUP(Filtro!A344,Comparacao!$A$7:$D$200,3,FALSE)</f>
        <v/>
      </c>
      <c r="D344" s="1" t="str">
        <f>VLOOKUP(Filtro!A344,Comparacao!$A$7:$D$200,4,FALSE)</f>
        <v/>
      </c>
      <c r="F344" t="str">
        <f t="array" ref="F344">IFERROR(INDEX(Comparacao!$G$7:$G$200,SMALL(IF(Comparacao!$K$7:$K$200=$A$2,ROW(Comparacao!$G$7:$G$200)),ROW(340:340))-4,1),"")</f>
        <v/>
      </c>
      <c r="G344" t="str">
        <f>IFERROR(VLOOKUP(F344,Lista2[],2,FALSE),"")</f>
        <v/>
      </c>
      <c r="H344" s="1" t="str">
        <f>VLOOKUP(Filtro!F344,Comparacao!$G$7:$J$200,3,FALSE)</f>
        <v/>
      </c>
      <c r="I344" s="1" t="str">
        <f>VLOOKUP(Filtro!F344,Comparacao!$G$7:$J$200,4,FALSE)</f>
        <v/>
      </c>
    </row>
    <row r="345" spans="1:9" x14ac:dyDescent="0.25">
      <c r="A345" s="3" t="str">
        <f t="array" ref="A345">IFERROR(INDEX(Comparacao!$A$7:$A$200,SMALL(IF(Comparacao!$E$7:$E$200=$A$2,ROW(Comparacao!$A$7:$A$200)),ROW(341:341))-4,1),"")</f>
        <v/>
      </c>
      <c r="B345" s="3" t="str">
        <f>IFERROR(VLOOKUP(A345,Lista1[],2,FALSE),"")</f>
        <v/>
      </c>
      <c r="C345" s="1" t="str">
        <f>VLOOKUP(Filtro!A345,Comparacao!$A$7:$D$200,3,FALSE)</f>
        <v/>
      </c>
      <c r="D345" s="1" t="str">
        <f>VLOOKUP(Filtro!A345,Comparacao!$A$7:$D$200,4,FALSE)</f>
        <v/>
      </c>
      <c r="F345" t="str">
        <f t="array" ref="F345">IFERROR(INDEX(Comparacao!$G$7:$G$200,SMALL(IF(Comparacao!$K$7:$K$200=$A$2,ROW(Comparacao!$G$7:$G$200)),ROW(341:341))-4,1),"")</f>
        <v/>
      </c>
      <c r="G345" t="str">
        <f>IFERROR(VLOOKUP(F345,Lista2[],2,FALSE),"")</f>
        <v/>
      </c>
      <c r="H345" s="1" t="str">
        <f>VLOOKUP(Filtro!F345,Comparacao!$G$7:$J$200,3,FALSE)</f>
        <v/>
      </c>
      <c r="I345" s="1" t="str">
        <f>VLOOKUP(Filtro!F345,Comparacao!$G$7:$J$200,4,FALSE)</f>
        <v/>
      </c>
    </row>
    <row r="346" spans="1:9" x14ac:dyDescent="0.25">
      <c r="A346" s="3" t="str">
        <f t="array" ref="A346">IFERROR(INDEX(Comparacao!$A$7:$A$200,SMALL(IF(Comparacao!$E$7:$E$200=$A$2,ROW(Comparacao!$A$7:$A$200)),ROW(342:342))-4,1),"")</f>
        <v/>
      </c>
      <c r="B346" s="3" t="str">
        <f>IFERROR(VLOOKUP(A346,Lista1[],2,FALSE),"")</f>
        <v/>
      </c>
      <c r="C346" s="1" t="str">
        <f>VLOOKUP(Filtro!A346,Comparacao!$A$7:$D$200,3,FALSE)</f>
        <v/>
      </c>
      <c r="D346" s="1" t="str">
        <f>VLOOKUP(Filtro!A346,Comparacao!$A$7:$D$200,4,FALSE)</f>
        <v/>
      </c>
      <c r="F346" t="str">
        <f t="array" ref="F346">IFERROR(INDEX(Comparacao!$G$7:$G$200,SMALL(IF(Comparacao!$K$7:$K$200=$A$2,ROW(Comparacao!$G$7:$G$200)),ROW(342:342))-4,1),"")</f>
        <v/>
      </c>
      <c r="G346" t="str">
        <f>IFERROR(VLOOKUP(F346,Lista2[],2,FALSE),"")</f>
        <v/>
      </c>
      <c r="H346" s="1" t="str">
        <f>VLOOKUP(Filtro!F346,Comparacao!$G$7:$J$200,3,FALSE)</f>
        <v/>
      </c>
      <c r="I346" s="1" t="str">
        <f>VLOOKUP(Filtro!F346,Comparacao!$G$7:$J$200,4,FALSE)</f>
        <v/>
      </c>
    </row>
    <row r="347" spans="1:9" x14ac:dyDescent="0.25">
      <c r="A347" s="3" t="str">
        <f t="array" ref="A347">IFERROR(INDEX(Comparacao!$A$7:$A$200,SMALL(IF(Comparacao!$E$7:$E$200=$A$2,ROW(Comparacao!$A$7:$A$200)),ROW(343:343))-4,1),"")</f>
        <v/>
      </c>
      <c r="B347" s="3" t="str">
        <f>IFERROR(VLOOKUP(A347,Lista1[],2,FALSE),"")</f>
        <v/>
      </c>
      <c r="C347" s="1" t="str">
        <f>VLOOKUP(Filtro!A347,Comparacao!$A$7:$D$200,3,FALSE)</f>
        <v/>
      </c>
      <c r="D347" s="1" t="str">
        <f>VLOOKUP(Filtro!A347,Comparacao!$A$7:$D$200,4,FALSE)</f>
        <v/>
      </c>
      <c r="F347" t="str">
        <f t="array" ref="F347">IFERROR(INDEX(Comparacao!$G$7:$G$200,SMALL(IF(Comparacao!$K$7:$K$200=$A$2,ROW(Comparacao!$G$7:$G$200)),ROW(343:343))-4,1),"")</f>
        <v/>
      </c>
      <c r="G347" t="str">
        <f>IFERROR(VLOOKUP(F347,Lista2[],2,FALSE),"")</f>
        <v/>
      </c>
      <c r="H347" s="1" t="str">
        <f>VLOOKUP(Filtro!F347,Comparacao!$G$7:$J$200,3,FALSE)</f>
        <v/>
      </c>
      <c r="I347" s="1" t="str">
        <f>VLOOKUP(Filtro!F347,Comparacao!$G$7:$J$200,4,FALSE)</f>
        <v/>
      </c>
    </row>
    <row r="348" spans="1:9" x14ac:dyDescent="0.25">
      <c r="A348" s="3" t="str">
        <f t="array" ref="A348">IFERROR(INDEX(Comparacao!$A$7:$A$200,SMALL(IF(Comparacao!$E$7:$E$200=$A$2,ROW(Comparacao!$A$7:$A$200)),ROW(344:344))-4,1),"")</f>
        <v/>
      </c>
      <c r="B348" s="3" t="str">
        <f>IFERROR(VLOOKUP(A348,Lista1[],2,FALSE),"")</f>
        <v/>
      </c>
      <c r="C348" s="1" t="str">
        <f>VLOOKUP(Filtro!A348,Comparacao!$A$7:$D$200,3,FALSE)</f>
        <v/>
      </c>
      <c r="D348" s="1" t="str">
        <f>VLOOKUP(Filtro!A348,Comparacao!$A$7:$D$200,4,FALSE)</f>
        <v/>
      </c>
      <c r="F348" t="str">
        <f t="array" ref="F348">IFERROR(INDEX(Comparacao!$G$7:$G$200,SMALL(IF(Comparacao!$K$7:$K$200=$A$2,ROW(Comparacao!$G$7:$G$200)),ROW(344:344))-4,1),"")</f>
        <v/>
      </c>
      <c r="G348" t="str">
        <f>IFERROR(VLOOKUP(F348,Lista2[],2,FALSE),"")</f>
        <v/>
      </c>
      <c r="H348" s="1" t="str">
        <f>VLOOKUP(Filtro!F348,Comparacao!$G$7:$J$200,3,FALSE)</f>
        <v/>
      </c>
      <c r="I348" s="1" t="str">
        <f>VLOOKUP(Filtro!F348,Comparacao!$G$7:$J$200,4,FALSE)</f>
        <v/>
      </c>
    </row>
    <row r="349" spans="1:9" x14ac:dyDescent="0.25">
      <c r="A349" s="3" t="str">
        <f t="array" ref="A349">IFERROR(INDEX(Comparacao!$A$7:$A$200,SMALL(IF(Comparacao!$E$7:$E$200=$A$2,ROW(Comparacao!$A$7:$A$200)),ROW(345:345))-4,1),"")</f>
        <v/>
      </c>
      <c r="B349" s="3" t="str">
        <f>IFERROR(VLOOKUP(A349,Lista1[],2,FALSE),"")</f>
        <v/>
      </c>
      <c r="C349" s="1" t="str">
        <f>VLOOKUP(Filtro!A349,Comparacao!$A$7:$D$200,3,FALSE)</f>
        <v/>
      </c>
      <c r="D349" s="1" t="str">
        <f>VLOOKUP(Filtro!A349,Comparacao!$A$7:$D$200,4,FALSE)</f>
        <v/>
      </c>
      <c r="F349" t="str">
        <f t="array" ref="F349">IFERROR(INDEX(Comparacao!$G$7:$G$200,SMALL(IF(Comparacao!$K$7:$K$200=$A$2,ROW(Comparacao!$G$7:$G$200)),ROW(345:345))-4,1),"")</f>
        <v/>
      </c>
      <c r="G349" t="str">
        <f>IFERROR(VLOOKUP(F349,Lista2[],2,FALSE),"")</f>
        <v/>
      </c>
      <c r="H349" s="1" t="str">
        <f>VLOOKUP(Filtro!F349,Comparacao!$G$7:$J$200,3,FALSE)</f>
        <v/>
      </c>
      <c r="I349" s="1" t="str">
        <f>VLOOKUP(Filtro!F349,Comparacao!$G$7:$J$200,4,FALSE)</f>
        <v/>
      </c>
    </row>
    <row r="350" spans="1:9" x14ac:dyDescent="0.25">
      <c r="A350" s="3" t="str">
        <f t="array" ref="A350">IFERROR(INDEX(Comparacao!$A$7:$A$200,SMALL(IF(Comparacao!$E$7:$E$200=$A$2,ROW(Comparacao!$A$7:$A$200)),ROW(346:346))-4,1),"")</f>
        <v/>
      </c>
      <c r="B350" s="3" t="str">
        <f>IFERROR(VLOOKUP(A350,Lista1[],2,FALSE),"")</f>
        <v/>
      </c>
      <c r="C350" s="1" t="str">
        <f>VLOOKUP(Filtro!A350,Comparacao!$A$7:$D$200,3,FALSE)</f>
        <v/>
      </c>
      <c r="D350" s="1" t="str">
        <f>VLOOKUP(Filtro!A350,Comparacao!$A$7:$D$200,4,FALSE)</f>
        <v/>
      </c>
      <c r="F350" t="str">
        <f t="array" ref="F350">IFERROR(INDEX(Comparacao!$G$7:$G$200,SMALL(IF(Comparacao!$K$7:$K$200=$A$2,ROW(Comparacao!$G$7:$G$200)),ROW(346:346))-4,1),"")</f>
        <v/>
      </c>
      <c r="G350" t="str">
        <f>IFERROR(VLOOKUP(F350,Lista2[],2,FALSE),"")</f>
        <v/>
      </c>
      <c r="H350" s="1" t="str">
        <f>VLOOKUP(Filtro!F350,Comparacao!$G$7:$J$200,3,FALSE)</f>
        <v/>
      </c>
      <c r="I350" s="1" t="str">
        <f>VLOOKUP(Filtro!F350,Comparacao!$G$7:$J$200,4,FALSE)</f>
        <v/>
      </c>
    </row>
    <row r="351" spans="1:9" x14ac:dyDescent="0.25">
      <c r="A351" s="3" t="str">
        <f t="array" ref="A351">IFERROR(INDEX(Comparacao!$A$7:$A$200,SMALL(IF(Comparacao!$E$7:$E$200=$A$2,ROW(Comparacao!$A$7:$A$200)),ROW(347:347))-4,1),"")</f>
        <v/>
      </c>
      <c r="B351" s="3" t="str">
        <f>IFERROR(VLOOKUP(A351,Lista1[],2,FALSE),"")</f>
        <v/>
      </c>
      <c r="C351" s="1" t="str">
        <f>VLOOKUP(Filtro!A351,Comparacao!$A$7:$D$200,3,FALSE)</f>
        <v/>
      </c>
      <c r="D351" s="1" t="str">
        <f>VLOOKUP(Filtro!A351,Comparacao!$A$7:$D$200,4,FALSE)</f>
        <v/>
      </c>
      <c r="F351" t="str">
        <f t="array" ref="F351">IFERROR(INDEX(Comparacao!$G$7:$G$200,SMALL(IF(Comparacao!$K$7:$K$200=$A$2,ROW(Comparacao!$G$7:$G$200)),ROW(347:347))-4,1),"")</f>
        <v/>
      </c>
      <c r="G351" t="str">
        <f>IFERROR(VLOOKUP(F351,Lista2[],2,FALSE),"")</f>
        <v/>
      </c>
      <c r="H351" s="1" t="str">
        <f>VLOOKUP(Filtro!F351,Comparacao!$G$7:$J$200,3,FALSE)</f>
        <v/>
      </c>
      <c r="I351" s="1" t="str">
        <f>VLOOKUP(Filtro!F351,Comparacao!$G$7:$J$200,4,FALSE)</f>
        <v/>
      </c>
    </row>
    <row r="352" spans="1:9" x14ac:dyDescent="0.25">
      <c r="A352" s="3" t="str">
        <f t="array" ref="A352">IFERROR(INDEX(Comparacao!$A$7:$A$200,SMALL(IF(Comparacao!$E$7:$E$200=$A$2,ROW(Comparacao!$A$7:$A$200)),ROW(348:348))-4,1),"")</f>
        <v/>
      </c>
      <c r="B352" s="3" t="str">
        <f>IFERROR(VLOOKUP(A352,Lista1[],2,FALSE),"")</f>
        <v/>
      </c>
      <c r="C352" s="1" t="str">
        <f>VLOOKUP(Filtro!A352,Comparacao!$A$7:$D$200,3,FALSE)</f>
        <v/>
      </c>
      <c r="D352" s="1" t="str">
        <f>VLOOKUP(Filtro!A352,Comparacao!$A$7:$D$200,4,FALSE)</f>
        <v/>
      </c>
      <c r="F352" t="str">
        <f t="array" ref="F352">IFERROR(INDEX(Comparacao!$G$7:$G$200,SMALL(IF(Comparacao!$K$7:$K$200=$A$2,ROW(Comparacao!$G$7:$G$200)),ROW(348:348))-4,1),"")</f>
        <v/>
      </c>
      <c r="G352" t="str">
        <f>IFERROR(VLOOKUP(F352,Lista2[],2,FALSE),"")</f>
        <v/>
      </c>
      <c r="H352" s="1" t="str">
        <f>VLOOKUP(Filtro!F352,Comparacao!$G$7:$J$200,3,FALSE)</f>
        <v/>
      </c>
      <c r="I352" s="1" t="str">
        <f>VLOOKUP(Filtro!F352,Comparacao!$G$7:$J$200,4,FALSE)</f>
        <v/>
      </c>
    </row>
    <row r="353" spans="1:9" x14ac:dyDescent="0.25">
      <c r="A353" s="3" t="str">
        <f t="array" ref="A353">IFERROR(INDEX(Comparacao!$A$7:$A$200,SMALL(IF(Comparacao!$E$7:$E$200=$A$2,ROW(Comparacao!$A$7:$A$200)),ROW(349:349))-4,1),"")</f>
        <v/>
      </c>
      <c r="B353" s="3" t="str">
        <f>IFERROR(VLOOKUP(A353,Lista1[],2,FALSE),"")</f>
        <v/>
      </c>
      <c r="C353" s="1" t="str">
        <f>VLOOKUP(Filtro!A353,Comparacao!$A$7:$D$200,3,FALSE)</f>
        <v/>
      </c>
      <c r="D353" s="1" t="str">
        <f>VLOOKUP(Filtro!A353,Comparacao!$A$7:$D$200,4,FALSE)</f>
        <v/>
      </c>
      <c r="F353" t="str">
        <f t="array" ref="F353">IFERROR(INDEX(Comparacao!$G$7:$G$200,SMALL(IF(Comparacao!$K$7:$K$200=$A$2,ROW(Comparacao!$G$7:$G$200)),ROW(349:349))-4,1),"")</f>
        <v/>
      </c>
      <c r="G353" t="str">
        <f>IFERROR(VLOOKUP(F353,Lista2[],2,FALSE),"")</f>
        <v/>
      </c>
      <c r="H353" s="1" t="str">
        <f>VLOOKUP(Filtro!F353,Comparacao!$G$7:$J$200,3,FALSE)</f>
        <v/>
      </c>
      <c r="I353" s="1" t="str">
        <f>VLOOKUP(Filtro!F353,Comparacao!$G$7:$J$200,4,FALSE)</f>
        <v/>
      </c>
    </row>
    <row r="354" spans="1:9" x14ac:dyDescent="0.25">
      <c r="A354" s="3" t="str">
        <f t="array" ref="A354">IFERROR(INDEX(Comparacao!$A$7:$A$200,SMALL(IF(Comparacao!$E$7:$E$200=$A$2,ROW(Comparacao!$A$7:$A$200)),ROW(350:350))-4,1),"")</f>
        <v/>
      </c>
      <c r="B354" s="3" t="str">
        <f>IFERROR(VLOOKUP(A354,Lista1[],2,FALSE),"")</f>
        <v/>
      </c>
      <c r="C354" s="1" t="str">
        <f>VLOOKUP(Filtro!A354,Comparacao!$A$7:$D$200,3,FALSE)</f>
        <v/>
      </c>
      <c r="D354" s="1" t="str">
        <f>VLOOKUP(Filtro!A354,Comparacao!$A$7:$D$200,4,FALSE)</f>
        <v/>
      </c>
      <c r="F354" t="str">
        <f t="array" ref="F354">IFERROR(INDEX(Comparacao!$G$7:$G$200,SMALL(IF(Comparacao!$K$7:$K$200=$A$2,ROW(Comparacao!$G$7:$G$200)),ROW(350:350))-4,1),"")</f>
        <v/>
      </c>
      <c r="G354" t="str">
        <f>IFERROR(VLOOKUP(F354,Lista2[],2,FALSE),"")</f>
        <v/>
      </c>
      <c r="H354" s="1" t="str">
        <f>VLOOKUP(Filtro!F354,Comparacao!$G$7:$J$200,3,FALSE)</f>
        <v/>
      </c>
      <c r="I354" s="1" t="str">
        <f>VLOOKUP(Filtro!F354,Comparacao!$G$7:$J$200,4,FALSE)</f>
        <v/>
      </c>
    </row>
    <row r="355" spans="1:9" x14ac:dyDescent="0.25">
      <c r="A355" s="3" t="str">
        <f t="array" ref="A355">IFERROR(INDEX(Comparacao!$A$7:$A$200,SMALL(IF(Comparacao!$E$7:$E$200=$A$2,ROW(Comparacao!$A$7:$A$200)),ROW(351:351))-4,1),"")</f>
        <v/>
      </c>
      <c r="B355" s="3" t="str">
        <f>IFERROR(VLOOKUP(A355,Lista1[],2,FALSE),"")</f>
        <v/>
      </c>
      <c r="C355" s="1" t="str">
        <f>VLOOKUP(Filtro!A355,Comparacao!$A$7:$D$200,3,FALSE)</f>
        <v/>
      </c>
      <c r="D355" s="1" t="str">
        <f>VLOOKUP(Filtro!A355,Comparacao!$A$7:$D$200,4,FALSE)</f>
        <v/>
      </c>
      <c r="F355" t="str">
        <f t="array" ref="F355">IFERROR(INDEX(Comparacao!$G$7:$G$200,SMALL(IF(Comparacao!$K$7:$K$200=$A$2,ROW(Comparacao!$G$7:$G$200)),ROW(351:351))-4,1),"")</f>
        <v/>
      </c>
      <c r="G355" t="str">
        <f>IFERROR(VLOOKUP(F355,Lista2[],2,FALSE),"")</f>
        <v/>
      </c>
      <c r="H355" s="1" t="str">
        <f>VLOOKUP(Filtro!F355,Comparacao!$G$7:$J$200,3,FALSE)</f>
        <v/>
      </c>
      <c r="I355" s="1" t="str">
        <f>VLOOKUP(Filtro!F355,Comparacao!$G$7:$J$200,4,FALSE)</f>
        <v/>
      </c>
    </row>
    <row r="356" spans="1:9" x14ac:dyDescent="0.25">
      <c r="A356" s="3" t="str">
        <f t="array" ref="A356">IFERROR(INDEX(Comparacao!$A$7:$A$200,SMALL(IF(Comparacao!$E$7:$E$200=$A$2,ROW(Comparacao!$A$7:$A$200)),ROW(352:352))-4,1),"")</f>
        <v/>
      </c>
      <c r="B356" s="3" t="str">
        <f>IFERROR(VLOOKUP(A356,Lista1[],2,FALSE),"")</f>
        <v/>
      </c>
      <c r="C356" s="1" t="str">
        <f>VLOOKUP(Filtro!A356,Comparacao!$A$7:$D$200,3,FALSE)</f>
        <v/>
      </c>
      <c r="D356" s="1" t="str">
        <f>VLOOKUP(Filtro!A356,Comparacao!$A$7:$D$200,4,FALSE)</f>
        <v/>
      </c>
      <c r="F356" t="str">
        <f t="array" ref="F356">IFERROR(INDEX(Comparacao!$G$7:$G$200,SMALL(IF(Comparacao!$K$7:$K$200=$A$2,ROW(Comparacao!$G$7:$G$200)),ROW(352:352))-4,1),"")</f>
        <v/>
      </c>
      <c r="G356" t="str">
        <f>IFERROR(VLOOKUP(F356,Lista2[],2,FALSE),"")</f>
        <v/>
      </c>
      <c r="H356" s="1" t="str">
        <f>VLOOKUP(Filtro!F356,Comparacao!$G$7:$J$200,3,FALSE)</f>
        <v/>
      </c>
      <c r="I356" s="1" t="str">
        <f>VLOOKUP(Filtro!F356,Comparacao!$G$7:$J$200,4,FALSE)</f>
        <v/>
      </c>
    </row>
    <row r="357" spans="1:9" x14ac:dyDescent="0.25">
      <c r="A357" s="3" t="str">
        <f t="array" ref="A357">IFERROR(INDEX(Comparacao!$A$7:$A$200,SMALL(IF(Comparacao!$E$7:$E$200=$A$2,ROW(Comparacao!$A$7:$A$200)),ROW(353:353))-4,1),"")</f>
        <v/>
      </c>
      <c r="B357" s="3" t="str">
        <f>IFERROR(VLOOKUP(A357,Lista1[],2,FALSE),"")</f>
        <v/>
      </c>
      <c r="C357" s="1" t="str">
        <f>VLOOKUP(Filtro!A357,Comparacao!$A$7:$D$200,3,FALSE)</f>
        <v/>
      </c>
      <c r="D357" s="1" t="str">
        <f>VLOOKUP(Filtro!A357,Comparacao!$A$7:$D$200,4,FALSE)</f>
        <v/>
      </c>
      <c r="F357" t="str">
        <f t="array" ref="F357">IFERROR(INDEX(Comparacao!$G$7:$G$200,SMALL(IF(Comparacao!$K$7:$K$200=$A$2,ROW(Comparacao!$G$7:$G$200)),ROW(353:353))-4,1),"")</f>
        <v/>
      </c>
      <c r="G357" t="str">
        <f>IFERROR(VLOOKUP(F357,Lista2[],2,FALSE),"")</f>
        <v/>
      </c>
      <c r="H357" s="1" t="str">
        <f>VLOOKUP(Filtro!F357,Comparacao!$G$7:$J$200,3,FALSE)</f>
        <v/>
      </c>
      <c r="I357" s="1" t="str">
        <f>VLOOKUP(Filtro!F357,Comparacao!$G$7:$J$200,4,FALSE)</f>
        <v/>
      </c>
    </row>
    <row r="358" spans="1:9" x14ac:dyDescent="0.25">
      <c r="A358" s="3" t="str">
        <f t="array" ref="A358">IFERROR(INDEX(Comparacao!$A$7:$A$200,SMALL(IF(Comparacao!$E$7:$E$200=$A$2,ROW(Comparacao!$A$7:$A$200)),ROW(354:354))-4,1),"")</f>
        <v/>
      </c>
      <c r="B358" s="3" t="str">
        <f>IFERROR(VLOOKUP(A358,Lista1[],2,FALSE),"")</f>
        <v/>
      </c>
      <c r="C358" s="1" t="str">
        <f>VLOOKUP(Filtro!A358,Comparacao!$A$7:$D$200,3,FALSE)</f>
        <v/>
      </c>
      <c r="D358" s="1" t="str">
        <f>VLOOKUP(Filtro!A358,Comparacao!$A$7:$D$200,4,FALSE)</f>
        <v/>
      </c>
      <c r="F358" t="str">
        <f t="array" ref="F358">IFERROR(INDEX(Comparacao!$G$7:$G$200,SMALL(IF(Comparacao!$K$7:$K$200=$A$2,ROW(Comparacao!$G$7:$G$200)),ROW(354:354))-4,1),"")</f>
        <v/>
      </c>
      <c r="G358" t="str">
        <f>IFERROR(VLOOKUP(F358,Lista2[],2,FALSE),"")</f>
        <v/>
      </c>
      <c r="H358" s="1" t="str">
        <f>VLOOKUP(Filtro!F358,Comparacao!$G$7:$J$200,3,FALSE)</f>
        <v/>
      </c>
      <c r="I358" s="1" t="str">
        <f>VLOOKUP(Filtro!F358,Comparacao!$G$7:$J$200,4,FALSE)</f>
        <v/>
      </c>
    </row>
    <row r="359" spans="1:9" x14ac:dyDescent="0.25">
      <c r="A359" s="3" t="str">
        <f t="array" ref="A359">IFERROR(INDEX(Comparacao!$A$7:$A$200,SMALL(IF(Comparacao!$E$7:$E$200=$A$2,ROW(Comparacao!$A$7:$A$200)),ROW(355:355))-4,1),"")</f>
        <v/>
      </c>
      <c r="B359" s="3" t="str">
        <f>IFERROR(VLOOKUP(A359,Lista1[],2,FALSE),"")</f>
        <v/>
      </c>
      <c r="C359" s="1" t="str">
        <f>VLOOKUP(Filtro!A359,Comparacao!$A$7:$D$200,3,FALSE)</f>
        <v/>
      </c>
      <c r="D359" s="1" t="str">
        <f>VLOOKUP(Filtro!A359,Comparacao!$A$7:$D$200,4,FALSE)</f>
        <v/>
      </c>
      <c r="F359" t="str">
        <f t="array" ref="F359">IFERROR(INDEX(Comparacao!$G$7:$G$200,SMALL(IF(Comparacao!$K$7:$K$200=$A$2,ROW(Comparacao!$G$7:$G$200)),ROW(355:355))-4,1),"")</f>
        <v/>
      </c>
      <c r="G359" t="str">
        <f>IFERROR(VLOOKUP(F359,Lista2[],2,FALSE),"")</f>
        <v/>
      </c>
      <c r="H359" s="1" t="str">
        <f>VLOOKUP(Filtro!F359,Comparacao!$G$7:$J$200,3,FALSE)</f>
        <v/>
      </c>
      <c r="I359" s="1" t="str">
        <f>VLOOKUP(Filtro!F359,Comparacao!$G$7:$J$200,4,FALSE)</f>
        <v/>
      </c>
    </row>
    <row r="360" spans="1:9" x14ac:dyDescent="0.25">
      <c r="A360" s="3" t="str">
        <f t="array" ref="A360">IFERROR(INDEX(Comparacao!$A$7:$A$200,SMALL(IF(Comparacao!$E$7:$E$200=$A$2,ROW(Comparacao!$A$7:$A$200)),ROW(356:356))-4,1),"")</f>
        <v/>
      </c>
      <c r="B360" s="3" t="str">
        <f>IFERROR(VLOOKUP(A360,Lista1[],2,FALSE),"")</f>
        <v/>
      </c>
      <c r="C360" s="1" t="str">
        <f>VLOOKUP(Filtro!A360,Comparacao!$A$7:$D$200,3,FALSE)</f>
        <v/>
      </c>
      <c r="D360" s="1" t="str">
        <f>VLOOKUP(Filtro!A360,Comparacao!$A$7:$D$200,4,FALSE)</f>
        <v/>
      </c>
      <c r="F360" t="str">
        <f t="array" ref="F360">IFERROR(INDEX(Comparacao!$G$7:$G$200,SMALL(IF(Comparacao!$K$7:$K$200=$A$2,ROW(Comparacao!$G$7:$G$200)),ROW(356:356))-4,1),"")</f>
        <v/>
      </c>
      <c r="G360" t="str">
        <f>IFERROR(VLOOKUP(F360,Lista2[],2,FALSE),"")</f>
        <v/>
      </c>
      <c r="H360" s="1" t="str">
        <f>VLOOKUP(Filtro!F360,Comparacao!$G$7:$J$200,3,FALSE)</f>
        <v/>
      </c>
      <c r="I360" s="1" t="str">
        <f>VLOOKUP(Filtro!F360,Comparacao!$G$7:$J$200,4,FALSE)</f>
        <v/>
      </c>
    </row>
    <row r="361" spans="1:9" x14ac:dyDescent="0.25">
      <c r="A361" s="3" t="str">
        <f t="array" ref="A361">IFERROR(INDEX(Comparacao!$A$7:$A$200,SMALL(IF(Comparacao!$E$7:$E$200=$A$2,ROW(Comparacao!$A$7:$A$200)),ROW(357:357))-4,1),"")</f>
        <v/>
      </c>
      <c r="B361" s="3" t="str">
        <f>IFERROR(VLOOKUP(A361,Lista1[],2,FALSE),"")</f>
        <v/>
      </c>
      <c r="C361" s="1" t="str">
        <f>VLOOKUP(Filtro!A361,Comparacao!$A$7:$D$200,3,FALSE)</f>
        <v/>
      </c>
      <c r="D361" s="1" t="str">
        <f>VLOOKUP(Filtro!A361,Comparacao!$A$7:$D$200,4,FALSE)</f>
        <v/>
      </c>
      <c r="F361" t="str">
        <f t="array" ref="F361">IFERROR(INDEX(Comparacao!$G$7:$G$200,SMALL(IF(Comparacao!$K$7:$K$200=$A$2,ROW(Comparacao!$G$7:$G$200)),ROW(357:357))-4,1),"")</f>
        <v/>
      </c>
      <c r="G361" t="str">
        <f>IFERROR(VLOOKUP(F361,Lista2[],2,FALSE),"")</f>
        <v/>
      </c>
      <c r="H361" s="1" t="str">
        <f>VLOOKUP(Filtro!F361,Comparacao!$G$7:$J$200,3,FALSE)</f>
        <v/>
      </c>
      <c r="I361" s="1" t="str">
        <f>VLOOKUP(Filtro!F361,Comparacao!$G$7:$J$200,4,FALSE)</f>
        <v/>
      </c>
    </row>
    <row r="362" spans="1:9" x14ac:dyDescent="0.25">
      <c r="A362" s="3" t="str">
        <f t="array" ref="A362">IFERROR(INDEX(Comparacao!$A$7:$A$200,SMALL(IF(Comparacao!$E$7:$E$200=$A$2,ROW(Comparacao!$A$7:$A$200)),ROW(358:358))-4,1),"")</f>
        <v/>
      </c>
      <c r="B362" s="3" t="str">
        <f>IFERROR(VLOOKUP(A362,Lista1[],2,FALSE),"")</f>
        <v/>
      </c>
      <c r="C362" s="1" t="str">
        <f>VLOOKUP(Filtro!A362,Comparacao!$A$7:$D$200,3,FALSE)</f>
        <v/>
      </c>
      <c r="D362" s="1" t="str">
        <f>VLOOKUP(Filtro!A362,Comparacao!$A$7:$D$200,4,FALSE)</f>
        <v/>
      </c>
      <c r="F362" t="str">
        <f t="array" ref="F362">IFERROR(INDEX(Comparacao!$G$7:$G$200,SMALL(IF(Comparacao!$K$7:$K$200=$A$2,ROW(Comparacao!$G$7:$G$200)),ROW(358:358))-4,1),"")</f>
        <v/>
      </c>
      <c r="G362" t="str">
        <f>IFERROR(VLOOKUP(F362,Lista2[],2,FALSE),"")</f>
        <v/>
      </c>
      <c r="H362" s="1" t="str">
        <f>VLOOKUP(Filtro!F362,Comparacao!$G$7:$J$200,3,FALSE)</f>
        <v/>
      </c>
      <c r="I362" s="1" t="str">
        <f>VLOOKUP(Filtro!F362,Comparacao!$G$7:$J$200,4,FALSE)</f>
        <v/>
      </c>
    </row>
    <row r="363" spans="1:9" x14ac:dyDescent="0.25">
      <c r="A363" s="3" t="str">
        <f t="array" ref="A363">IFERROR(INDEX(Comparacao!$A$7:$A$200,SMALL(IF(Comparacao!$E$7:$E$200=$A$2,ROW(Comparacao!$A$7:$A$200)),ROW(359:359))-4,1),"")</f>
        <v/>
      </c>
      <c r="B363" s="3" t="str">
        <f>IFERROR(VLOOKUP(A363,Lista1[],2,FALSE),"")</f>
        <v/>
      </c>
      <c r="C363" s="1" t="str">
        <f>VLOOKUP(Filtro!A363,Comparacao!$A$7:$D$200,3,FALSE)</f>
        <v/>
      </c>
      <c r="D363" s="1" t="str">
        <f>VLOOKUP(Filtro!A363,Comparacao!$A$7:$D$200,4,FALSE)</f>
        <v/>
      </c>
      <c r="F363" t="str">
        <f t="array" ref="F363">IFERROR(INDEX(Comparacao!$G$7:$G$200,SMALL(IF(Comparacao!$K$7:$K$200=$A$2,ROW(Comparacao!$G$7:$G$200)),ROW(359:359))-4,1),"")</f>
        <v/>
      </c>
      <c r="G363" t="str">
        <f>IFERROR(VLOOKUP(F363,Lista2[],2,FALSE),"")</f>
        <v/>
      </c>
      <c r="H363" s="1" t="str">
        <f>VLOOKUP(Filtro!F363,Comparacao!$G$7:$J$200,3,FALSE)</f>
        <v/>
      </c>
      <c r="I363" s="1" t="str">
        <f>VLOOKUP(Filtro!F363,Comparacao!$G$7:$J$200,4,FALSE)</f>
        <v/>
      </c>
    </row>
    <row r="364" spans="1:9" x14ac:dyDescent="0.25">
      <c r="A364" s="3" t="str">
        <f t="array" ref="A364">IFERROR(INDEX(Comparacao!$A$7:$A$200,SMALL(IF(Comparacao!$E$7:$E$200=$A$2,ROW(Comparacao!$A$7:$A$200)),ROW(360:360))-4,1),"")</f>
        <v/>
      </c>
      <c r="B364" s="3" t="str">
        <f>IFERROR(VLOOKUP(A364,Lista1[],2,FALSE),"")</f>
        <v/>
      </c>
      <c r="C364" s="1" t="str">
        <f>VLOOKUP(Filtro!A364,Comparacao!$A$7:$D$200,3,FALSE)</f>
        <v/>
      </c>
      <c r="D364" s="1" t="str">
        <f>VLOOKUP(Filtro!A364,Comparacao!$A$7:$D$200,4,FALSE)</f>
        <v/>
      </c>
      <c r="F364" t="str">
        <f t="array" ref="F364">IFERROR(INDEX(Comparacao!$G$7:$G$200,SMALL(IF(Comparacao!$K$7:$K$200=$A$2,ROW(Comparacao!$G$7:$G$200)),ROW(360:360))-4,1),"")</f>
        <v/>
      </c>
      <c r="G364" t="str">
        <f>IFERROR(VLOOKUP(F364,Lista2[],2,FALSE),"")</f>
        <v/>
      </c>
      <c r="H364" s="1" t="str">
        <f>VLOOKUP(Filtro!F364,Comparacao!$G$7:$J$200,3,FALSE)</f>
        <v/>
      </c>
      <c r="I364" s="1" t="str">
        <f>VLOOKUP(Filtro!F364,Comparacao!$G$7:$J$200,4,FALSE)</f>
        <v/>
      </c>
    </row>
    <row r="365" spans="1:9" x14ac:dyDescent="0.25">
      <c r="A365" s="3" t="str">
        <f t="array" ref="A365">IFERROR(INDEX(Comparacao!$A$7:$A$200,SMALL(IF(Comparacao!$E$7:$E$200=$A$2,ROW(Comparacao!$A$7:$A$200)),ROW(361:361))-4,1),"")</f>
        <v/>
      </c>
      <c r="B365" s="3" t="str">
        <f>IFERROR(VLOOKUP(A365,Lista1[],2,FALSE),"")</f>
        <v/>
      </c>
      <c r="C365" s="1" t="str">
        <f>VLOOKUP(Filtro!A365,Comparacao!$A$7:$D$200,3,FALSE)</f>
        <v/>
      </c>
      <c r="D365" s="1" t="str">
        <f>VLOOKUP(Filtro!A365,Comparacao!$A$7:$D$200,4,FALSE)</f>
        <v/>
      </c>
      <c r="F365" t="str">
        <f t="array" ref="F365">IFERROR(INDEX(Comparacao!$G$7:$G$200,SMALL(IF(Comparacao!$K$7:$K$200=$A$2,ROW(Comparacao!$G$7:$G$200)),ROW(361:361))-4,1),"")</f>
        <v/>
      </c>
      <c r="G365" t="str">
        <f>IFERROR(VLOOKUP(F365,Lista2[],2,FALSE),"")</f>
        <v/>
      </c>
      <c r="H365" s="1" t="str">
        <f>VLOOKUP(Filtro!F365,Comparacao!$G$7:$J$200,3,FALSE)</f>
        <v/>
      </c>
      <c r="I365" s="1" t="str">
        <f>VLOOKUP(Filtro!F365,Comparacao!$G$7:$J$200,4,FALSE)</f>
        <v/>
      </c>
    </row>
    <row r="366" spans="1:9" x14ac:dyDescent="0.25">
      <c r="A366" s="3" t="str">
        <f t="array" ref="A366">IFERROR(INDEX(Comparacao!$A$7:$A$200,SMALL(IF(Comparacao!$E$7:$E$200=$A$2,ROW(Comparacao!$A$7:$A$200)),ROW(362:362))-4,1),"")</f>
        <v/>
      </c>
      <c r="B366" s="3" t="str">
        <f>IFERROR(VLOOKUP(A366,Lista1[],2,FALSE),"")</f>
        <v/>
      </c>
      <c r="C366" s="1" t="str">
        <f>VLOOKUP(Filtro!A366,Comparacao!$A$7:$D$200,3,FALSE)</f>
        <v/>
      </c>
      <c r="D366" s="1" t="str">
        <f>VLOOKUP(Filtro!A366,Comparacao!$A$7:$D$200,4,FALSE)</f>
        <v/>
      </c>
      <c r="F366" t="str">
        <f t="array" ref="F366">IFERROR(INDEX(Comparacao!$G$7:$G$200,SMALL(IF(Comparacao!$K$7:$K$200=$A$2,ROW(Comparacao!$G$7:$G$200)),ROW(362:362))-4,1),"")</f>
        <v/>
      </c>
      <c r="G366" t="str">
        <f>IFERROR(VLOOKUP(F366,Lista2[],2,FALSE),"")</f>
        <v/>
      </c>
      <c r="H366" s="1" t="str">
        <f>VLOOKUP(Filtro!F366,Comparacao!$G$7:$J$200,3,FALSE)</f>
        <v/>
      </c>
      <c r="I366" s="1" t="str">
        <f>VLOOKUP(Filtro!F366,Comparacao!$G$7:$J$200,4,FALSE)</f>
        <v/>
      </c>
    </row>
    <row r="367" spans="1:9" x14ac:dyDescent="0.25">
      <c r="A367" s="3" t="str">
        <f t="array" ref="A367">IFERROR(INDEX(Comparacao!$A$7:$A$200,SMALL(IF(Comparacao!$E$7:$E$200=$A$2,ROW(Comparacao!$A$7:$A$200)),ROW(363:363))-4,1),"")</f>
        <v/>
      </c>
      <c r="B367" s="3" t="str">
        <f>IFERROR(VLOOKUP(A367,Lista1[],2,FALSE),"")</f>
        <v/>
      </c>
      <c r="C367" s="1" t="str">
        <f>VLOOKUP(Filtro!A367,Comparacao!$A$7:$D$200,3,FALSE)</f>
        <v/>
      </c>
      <c r="D367" s="1" t="str">
        <f>VLOOKUP(Filtro!A367,Comparacao!$A$7:$D$200,4,FALSE)</f>
        <v/>
      </c>
      <c r="F367" t="str">
        <f t="array" ref="F367">IFERROR(INDEX(Comparacao!$G$7:$G$200,SMALL(IF(Comparacao!$K$7:$K$200=$A$2,ROW(Comparacao!$G$7:$G$200)),ROW(363:363))-4,1),"")</f>
        <v/>
      </c>
      <c r="G367" t="str">
        <f>IFERROR(VLOOKUP(F367,Lista2[],2,FALSE),"")</f>
        <v/>
      </c>
      <c r="H367" s="1" t="str">
        <f>VLOOKUP(Filtro!F367,Comparacao!$G$7:$J$200,3,FALSE)</f>
        <v/>
      </c>
      <c r="I367" s="1" t="str">
        <f>VLOOKUP(Filtro!F367,Comparacao!$G$7:$J$200,4,FALSE)</f>
        <v/>
      </c>
    </row>
    <row r="368" spans="1:9" x14ac:dyDescent="0.25">
      <c r="A368" s="3" t="str">
        <f t="array" ref="A368">IFERROR(INDEX(Comparacao!$A$7:$A$200,SMALL(IF(Comparacao!$E$7:$E$200=$A$2,ROW(Comparacao!$A$7:$A$200)),ROW(364:364))-4,1),"")</f>
        <v/>
      </c>
      <c r="B368" s="3" t="str">
        <f>IFERROR(VLOOKUP(A368,Lista1[],2,FALSE),"")</f>
        <v/>
      </c>
      <c r="C368" s="1" t="str">
        <f>VLOOKUP(Filtro!A368,Comparacao!$A$7:$D$200,3,FALSE)</f>
        <v/>
      </c>
      <c r="D368" s="1" t="str">
        <f>VLOOKUP(Filtro!A368,Comparacao!$A$7:$D$200,4,FALSE)</f>
        <v/>
      </c>
      <c r="F368" t="str">
        <f t="array" ref="F368">IFERROR(INDEX(Comparacao!$G$7:$G$200,SMALL(IF(Comparacao!$K$7:$K$200=$A$2,ROW(Comparacao!$G$7:$G$200)),ROW(364:364))-4,1),"")</f>
        <v/>
      </c>
      <c r="G368" t="str">
        <f>IFERROR(VLOOKUP(F368,Lista2[],2,FALSE),"")</f>
        <v/>
      </c>
      <c r="H368" s="1" t="str">
        <f>VLOOKUP(Filtro!F368,Comparacao!$G$7:$J$200,3,FALSE)</f>
        <v/>
      </c>
      <c r="I368" s="1" t="str">
        <f>VLOOKUP(Filtro!F368,Comparacao!$G$7:$J$200,4,FALSE)</f>
        <v/>
      </c>
    </row>
    <row r="369" spans="1:9" x14ac:dyDescent="0.25">
      <c r="A369" s="3" t="str">
        <f t="array" ref="A369">IFERROR(INDEX(Comparacao!$A$7:$A$200,SMALL(IF(Comparacao!$E$7:$E$200=$A$2,ROW(Comparacao!$A$7:$A$200)),ROW(365:365))-4,1),"")</f>
        <v/>
      </c>
      <c r="B369" s="3" t="str">
        <f>IFERROR(VLOOKUP(A369,Lista1[],2,FALSE),"")</f>
        <v/>
      </c>
      <c r="C369" s="1" t="str">
        <f>VLOOKUP(Filtro!A369,Comparacao!$A$7:$D$200,3,FALSE)</f>
        <v/>
      </c>
      <c r="D369" s="1" t="str">
        <f>VLOOKUP(Filtro!A369,Comparacao!$A$7:$D$200,4,FALSE)</f>
        <v/>
      </c>
      <c r="F369" t="str">
        <f t="array" ref="F369">IFERROR(INDEX(Comparacao!$G$7:$G$200,SMALL(IF(Comparacao!$K$7:$K$200=$A$2,ROW(Comparacao!$G$7:$G$200)),ROW(365:365))-4,1),"")</f>
        <v/>
      </c>
      <c r="G369" t="str">
        <f>IFERROR(VLOOKUP(F369,Lista2[],2,FALSE),"")</f>
        <v/>
      </c>
      <c r="H369" s="1" t="str">
        <f>VLOOKUP(Filtro!F369,Comparacao!$G$7:$J$200,3,FALSE)</f>
        <v/>
      </c>
      <c r="I369" s="1" t="str">
        <f>VLOOKUP(Filtro!F369,Comparacao!$G$7:$J$200,4,FALSE)</f>
        <v/>
      </c>
    </row>
    <row r="370" spans="1:9" x14ac:dyDescent="0.25">
      <c r="A370" s="3" t="str">
        <f t="array" ref="A370">IFERROR(INDEX(Comparacao!$A$7:$A$200,SMALL(IF(Comparacao!$E$7:$E$200=$A$2,ROW(Comparacao!$A$7:$A$200)),ROW(366:366))-4,1),"")</f>
        <v/>
      </c>
      <c r="B370" s="3" t="str">
        <f>IFERROR(VLOOKUP(A370,Lista1[],2,FALSE),"")</f>
        <v/>
      </c>
      <c r="C370" s="1" t="str">
        <f>VLOOKUP(Filtro!A370,Comparacao!$A$7:$D$200,3,FALSE)</f>
        <v/>
      </c>
      <c r="D370" s="1" t="str">
        <f>VLOOKUP(Filtro!A370,Comparacao!$A$7:$D$200,4,FALSE)</f>
        <v/>
      </c>
      <c r="F370" t="str">
        <f t="array" ref="F370">IFERROR(INDEX(Comparacao!$G$7:$G$200,SMALL(IF(Comparacao!$K$7:$K$200=$A$2,ROW(Comparacao!$G$7:$G$200)),ROW(366:366))-4,1),"")</f>
        <v/>
      </c>
      <c r="G370" t="str">
        <f>IFERROR(VLOOKUP(F370,Lista2[],2,FALSE),"")</f>
        <v/>
      </c>
      <c r="H370" s="1" t="str">
        <f>VLOOKUP(Filtro!F370,Comparacao!$G$7:$J$200,3,FALSE)</f>
        <v/>
      </c>
      <c r="I370" s="1" t="str">
        <f>VLOOKUP(Filtro!F370,Comparacao!$G$7:$J$200,4,FALSE)</f>
        <v/>
      </c>
    </row>
    <row r="371" spans="1:9" x14ac:dyDescent="0.25">
      <c r="A371" s="3" t="str">
        <f t="array" ref="A371">IFERROR(INDEX(Comparacao!$A$7:$A$200,SMALL(IF(Comparacao!$E$7:$E$200=$A$2,ROW(Comparacao!$A$7:$A$200)),ROW(367:367))-4,1),"")</f>
        <v/>
      </c>
      <c r="B371" s="3" t="str">
        <f>IFERROR(VLOOKUP(A371,Lista1[],2,FALSE),"")</f>
        <v/>
      </c>
      <c r="C371" s="1" t="str">
        <f>VLOOKUP(Filtro!A371,Comparacao!$A$7:$D$200,3,FALSE)</f>
        <v/>
      </c>
      <c r="D371" s="1" t="str">
        <f>VLOOKUP(Filtro!A371,Comparacao!$A$7:$D$200,4,FALSE)</f>
        <v/>
      </c>
      <c r="F371" t="str">
        <f t="array" ref="F371">IFERROR(INDEX(Comparacao!$G$7:$G$200,SMALL(IF(Comparacao!$K$7:$K$200=$A$2,ROW(Comparacao!$G$7:$G$200)),ROW(367:367))-4,1),"")</f>
        <v/>
      </c>
      <c r="G371" t="str">
        <f>IFERROR(VLOOKUP(F371,Lista2[],2,FALSE),"")</f>
        <v/>
      </c>
      <c r="H371" s="1" t="str">
        <f>VLOOKUP(Filtro!F371,Comparacao!$G$7:$J$200,3,FALSE)</f>
        <v/>
      </c>
      <c r="I371" s="1" t="str">
        <f>VLOOKUP(Filtro!F371,Comparacao!$G$7:$J$200,4,FALSE)</f>
        <v/>
      </c>
    </row>
    <row r="372" spans="1:9" x14ac:dyDescent="0.25">
      <c r="A372" s="3" t="str">
        <f t="array" ref="A372">IFERROR(INDEX(Comparacao!$A$7:$A$200,SMALL(IF(Comparacao!$E$7:$E$200=$A$2,ROW(Comparacao!$A$7:$A$200)),ROW(368:368))-4,1),"")</f>
        <v/>
      </c>
      <c r="B372" s="3" t="str">
        <f>IFERROR(VLOOKUP(A372,Lista1[],2,FALSE),"")</f>
        <v/>
      </c>
      <c r="C372" s="1" t="str">
        <f>VLOOKUP(Filtro!A372,Comparacao!$A$7:$D$200,3,FALSE)</f>
        <v/>
      </c>
      <c r="D372" s="1" t="str">
        <f>VLOOKUP(Filtro!A372,Comparacao!$A$7:$D$200,4,FALSE)</f>
        <v/>
      </c>
      <c r="F372" t="str">
        <f t="array" ref="F372">IFERROR(INDEX(Comparacao!$G$7:$G$200,SMALL(IF(Comparacao!$K$7:$K$200=$A$2,ROW(Comparacao!$G$7:$G$200)),ROW(368:368))-4,1),"")</f>
        <v/>
      </c>
      <c r="G372" t="str">
        <f>IFERROR(VLOOKUP(F372,Lista2[],2,FALSE),"")</f>
        <v/>
      </c>
      <c r="H372" s="1" t="str">
        <f>VLOOKUP(Filtro!F372,Comparacao!$G$7:$J$200,3,FALSE)</f>
        <v/>
      </c>
      <c r="I372" s="1" t="str">
        <f>VLOOKUP(Filtro!F372,Comparacao!$G$7:$J$200,4,FALSE)</f>
        <v/>
      </c>
    </row>
    <row r="373" spans="1:9" x14ac:dyDescent="0.25">
      <c r="A373" s="3" t="str">
        <f t="array" ref="A373">IFERROR(INDEX(Comparacao!$A$7:$A$200,SMALL(IF(Comparacao!$E$7:$E$200=$A$2,ROW(Comparacao!$A$7:$A$200)),ROW(369:369))-4,1),"")</f>
        <v/>
      </c>
      <c r="B373" s="3" t="str">
        <f>IFERROR(VLOOKUP(A373,Lista1[],2,FALSE),"")</f>
        <v/>
      </c>
      <c r="C373" s="1" t="str">
        <f>VLOOKUP(Filtro!A373,Comparacao!$A$7:$D$200,3,FALSE)</f>
        <v/>
      </c>
      <c r="D373" s="1" t="str">
        <f>VLOOKUP(Filtro!A373,Comparacao!$A$7:$D$200,4,FALSE)</f>
        <v/>
      </c>
      <c r="F373" t="str">
        <f t="array" ref="F373">IFERROR(INDEX(Comparacao!$G$7:$G$200,SMALL(IF(Comparacao!$K$7:$K$200=$A$2,ROW(Comparacao!$G$7:$G$200)),ROW(369:369))-4,1),"")</f>
        <v/>
      </c>
      <c r="G373" t="str">
        <f>IFERROR(VLOOKUP(F373,Lista2[],2,FALSE),"")</f>
        <v/>
      </c>
      <c r="H373" s="1" t="str">
        <f>VLOOKUP(Filtro!F373,Comparacao!$G$7:$J$200,3,FALSE)</f>
        <v/>
      </c>
      <c r="I373" s="1" t="str">
        <f>VLOOKUP(Filtro!F373,Comparacao!$G$7:$J$200,4,FALSE)</f>
        <v/>
      </c>
    </row>
    <row r="374" spans="1:9" x14ac:dyDescent="0.25">
      <c r="A374" s="3" t="str">
        <f t="array" ref="A374">IFERROR(INDEX(Comparacao!$A$7:$A$200,SMALL(IF(Comparacao!$E$7:$E$200=$A$2,ROW(Comparacao!$A$7:$A$200)),ROW(370:370))-4,1),"")</f>
        <v/>
      </c>
      <c r="B374" s="3" t="str">
        <f>IFERROR(VLOOKUP(A374,Lista1[],2,FALSE),"")</f>
        <v/>
      </c>
      <c r="C374" s="1" t="str">
        <f>VLOOKUP(Filtro!A374,Comparacao!$A$7:$D$200,3,FALSE)</f>
        <v/>
      </c>
      <c r="D374" s="1" t="str">
        <f>VLOOKUP(Filtro!A374,Comparacao!$A$7:$D$200,4,FALSE)</f>
        <v/>
      </c>
      <c r="F374" t="str">
        <f t="array" ref="F374">IFERROR(INDEX(Comparacao!$G$7:$G$200,SMALL(IF(Comparacao!$K$7:$K$200=$A$2,ROW(Comparacao!$G$7:$G$200)),ROW(370:370))-4,1),"")</f>
        <v/>
      </c>
      <c r="G374" t="str">
        <f>IFERROR(VLOOKUP(F374,Lista2[],2,FALSE),"")</f>
        <v/>
      </c>
      <c r="H374" s="1" t="str">
        <f>VLOOKUP(Filtro!F374,Comparacao!$G$7:$J$200,3,FALSE)</f>
        <v/>
      </c>
      <c r="I374" s="1" t="str">
        <f>VLOOKUP(Filtro!F374,Comparacao!$G$7:$J$200,4,FALSE)</f>
        <v/>
      </c>
    </row>
    <row r="375" spans="1:9" x14ac:dyDescent="0.25">
      <c r="A375" s="3" t="str">
        <f t="array" ref="A375">IFERROR(INDEX(Comparacao!$A$7:$A$200,SMALL(IF(Comparacao!$E$7:$E$200=$A$2,ROW(Comparacao!$A$7:$A$200)),ROW(371:371))-4,1),"")</f>
        <v/>
      </c>
      <c r="B375" s="3" t="str">
        <f>IFERROR(VLOOKUP(A375,Lista1[],2,FALSE),"")</f>
        <v/>
      </c>
      <c r="C375" s="1" t="str">
        <f>VLOOKUP(Filtro!A375,Comparacao!$A$7:$D$200,3,FALSE)</f>
        <v/>
      </c>
      <c r="D375" s="1" t="str">
        <f>VLOOKUP(Filtro!A375,Comparacao!$A$7:$D$200,4,FALSE)</f>
        <v/>
      </c>
      <c r="F375" t="str">
        <f t="array" ref="F375">IFERROR(INDEX(Comparacao!$G$7:$G$200,SMALL(IF(Comparacao!$K$7:$K$200=$A$2,ROW(Comparacao!$G$7:$G$200)),ROW(371:371))-4,1),"")</f>
        <v/>
      </c>
      <c r="G375" t="str">
        <f>IFERROR(VLOOKUP(F375,Lista2[],2,FALSE),"")</f>
        <v/>
      </c>
      <c r="H375" s="1" t="str">
        <f>VLOOKUP(Filtro!F375,Comparacao!$G$7:$J$200,3,FALSE)</f>
        <v/>
      </c>
      <c r="I375" s="1" t="str">
        <f>VLOOKUP(Filtro!F375,Comparacao!$G$7:$J$200,4,FALSE)</f>
        <v/>
      </c>
    </row>
    <row r="376" spans="1:9" x14ac:dyDescent="0.25">
      <c r="A376" s="3" t="str">
        <f t="array" ref="A376">IFERROR(INDEX(Comparacao!$A$7:$A$200,SMALL(IF(Comparacao!$E$7:$E$200=$A$2,ROW(Comparacao!$A$7:$A$200)),ROW(372:372))-4,1),"")</f>
        <v/>
      </c>
      <c r="B376" s="3" t="str">
        <f>IFERROR(VLOOKUP(A376,Lista1[],2,FALSE),"")</f>
        <v/>
      </c>
      <c r="C376" s="1" t="str">
        <f>VLOOKUP(Filtro!A376,Comparacao!$A$7:$D$200,3,FALSE)</f>
        <v/>
      </c>
      <c r="D376" s="1" t="str">
        <f>VLOOKUP(Filtro!A376,Comparacao!$A$7:$D$200,4,FALSE)</f>
        <v/>
      </c>
      <c r="F376" t="str">
        <f t="array" ref="F376">IFERROR(INDEX(Comparacao!$G$7:$G$200,SMALL(IF(Comparacao!$K$7:$K$200=$A$2,ROW(Comparacao!$G$7:$G$200)),ROW(372:372))-4,1),"")</f>
        <v/>
      </c>
      <c r="G376" t="str">
        <f>IFERROR(VLOOKUP(F376,Lista2[],2,FALSE),"")</f>
        <v/>
      </c>
      <c r="H376" s="1" t="str">
        <f>VLOOKUP(Filtro!F376,Comparacao!$G$7:$J$200,3,FALSE)</f>
        <v/>
      </c>
      <c r="I376" s="1" t="str">
        <f>VLOOKUP(Filtro!F376,Comparacao!$G$7:$J$200,4,FALSE)</f>
        <v/>
      </c>
    </row>
    <row r="377" spans="1:9" x14ac:dyDescent="0.25">
      <c r="A377" s="3" t="str">
        <f t="array" ref="A377">IFERROR(INDEX(Comparacao!$A$7:$A$200,SMALL(IF(Comparacao!$E$7:$E$200=$A$2,ROW(Comparacao!$A$7:$A$200)),ROW(373:373))-4,1),"")</f>
        <v/>
      </c>
      <c r="B377" s="3" t="str">
        <f>IFERROR(VLOOKUP(A377,Lista1[],2,FALSE),"")</f>
        <v/>
      </c>
      <c r="C377" s="1" t="str">
        <f>VLOOKUP(Filtro!A377,Comparacao!$A$7:$D$200,3,FALSE)</f>
        <v/>
      </c>
      <c r="D377" s="1" t="str">
        <f>VLOOKUP(Filtro!A377,Comparacao!$A$7:$D$200,4,FALSE)</f>
        <v/>
      </c>
      <c r="F377" t="str">
        <f t="array" ref="F377">IFERROR(INDEX(Comparacao!$G$7:$G$200,SMALL(IF(Comparacao!$K$7:$K$200=$A$2,ROW(Comparacao!$G$7:$G$200)),ROW(373:373))-4,1),"")</f>
        <v/>
      </c>
      <c r="G377" t="str">
        <f>IFERROR(VLOOKUP(F377,Lista2[],2,FALSE),"")</f>
        <v/>
      </c>
      <c r="H377" s="1" t="str">
        <f>VLOOKUP(Filtro!F377,Comparacao!$G$7:$J$200,3,FALSE)</f>
        <v/>
      </c>
      <c r="I377" s="1" t="str">
        <f>VLOOKUP(Filtro!F377,Comparacao!$G$7:$J$200,4,FALSE)</f>
        <v/>
      </c>
    </row>
    <row r="378" spans="1:9" x14ac:dyDescent="0.25">
      <c r="A378" s="3" t="str">
        <f t="array" ref="A378">IFERROR(INDEX(Comparacao!$A$7:$A$200,SMALL(IF(Comparacao!$E$7:$E$200=$A$2,ROW(Comparacao!$A$7:$A$200)),ROW(374:374))-4,1),"")</f>
        <v/>
      </c>
      <c r="B378" s="3" t="str">
        <f>IFERROR(VLOOKUP(A378,Lista1[],2,FALSE),"")</f>
        <v/>
      </c>
      <c r="C378" s="1" t="str">
        <f>VLOOKUP(Filtro!A378,Comparacao!$A$7:$D$200,3,FALSE)</f>
        <v/>
      </c>
      <c r="D378" s="1" t="str">
        <f>VLOOKUP(Filtro!A378,Comparacao!$A$7:$D$200,4,FALSE)</f>
        <v/>
      </c>
      <c r="F378" t="str">
        <f t="array" ref="F378">IFERROR(INDEX(Comparacao!$G$7:$G$200,SMALL(IF(Comparacao!$K$7:$K$200=$A$2,ROW(Comparacao!$G$7:$G$200)),ROW(374:374))-4,1),"")</f>
        <v/>
      </c>
      <c r="G378" t="str">
        <f>IFERROR(VLOOKUP(F378,Lista2[],2,FALSE),"")</f>
        <v/>
      </c>
      <c r="H378" s="1" t="str">
        <f>VLOOKUP(Filtro!F378,Comparacao!$G$7:$J$200,3,FALSE)</f>
        <v/>
      </c>
      <c r="I378" s="1" t="str">
        <f>VLOOKUP(Filtro!F378,Comparacao!$G$7:$J$200,4,FALSE)</f>
        <v/>
      </c>
    </row>
    <row r="379" spans="1:9" x14ac:dyDescent="0.25">
      <c r="A379" s="3" t="str">
        <f t="array" ref="A379">IFERROR(INDEX(Comparacao!$A$7:$A$200,SMALL(IF(Comparacao!$E$7:$E$200=$A$2,ROW(Comparacao!$A$7:$A$200)),ROW(375:375))-4,1),"")</f>
        <v/>
      </c>
      <c r="B379" s="3" t="str">
        <f>IFERROR(VLOOKUP(A379,Lista1[],2,FALSE),"")</f>
        <v/>
      </c>
      <c r="C379" s="1" t="str">
        <f>VLOOKUP(Filtro!A379,Comparacao!$A$7:$D$200,3,FALSE)</f>
        <v/>
      </c>
      <c r="D379" s="1" t="str">
        <f>VLOOKUP(Filtro!A379,Comparacao!$A$7:$D$200,4,FALSE)</f>
        <v/>
      </c>
      <c r="F379" t="str">
        <f t="array" ref="F379">IFERROR(INDEX(Comparacao!$G$7:$G$200,SMALL(IF(Comparacao!$K$7:$K$200=$A$2,ROW(Comparacao!$G$7:$G$200)),ROW(375:375))-4,1),"")</f>
        <v/>
      </c>
      <c r="G379" t="str">
        <f>IFERROR(VLOOKUP(F379,Lista2[],2,FALSE),"")</f>
        <v/>
      </c>
      <c r="H379" s="1" t="str">
        <f>VLOOKUP(Filtro!F379,Comparacao!$G$7:$J$200,3,FALSE)</f>
        <v/>
      </c>
      <c r="I379" s="1" t="str">
        <f>VLOOKUP(Filtro!F379,Comparacao!$G$7:$J$200,4,FALSE)</f>
        <v/>
      </c>
    </row>
    <row r="380" spans="1:9" x14ac:dyDescent="0.25">
      <c r="A380" s="3" t="str">
        <f t="array" ref="A380">IFERROR(INDEX(Comparacao!$A$7:$A$200,SMALL(IF(Comparacao!$E$7:$E$200=$A$2,ROW(Comparacao!$A$7:$A$200)),ROW(376:376))-4,1),"")</f>
        <v/>
      </c>
      <c r="B380" s="3" t="str">
        <f>IFERROR(VLOOKUP(A380,Lista1[],2,FALSE),"")</f>
        <v/>
      </c>
      <c r="C380" s="1" t="str">
        <f>VLOOKUP(Filtro!A380,Comparacao!$A$7:$D$200,3,FALSE)</f>
        <v/>
      </c>
      <c r="D380" s="1" t="str">
        <f>VLOOKUP(Filtro!A380,Comparacao!$A$7:$D$200,4,FALSE)</f>
        <v/>
      </c>
      <c r="F380" t="str">
        <f t="array" ref="F380">IFERROR(INDEX(Comparacao!$G$7:$G$200,SMALL(IF(Comparacao!$K$7:$K$200=$A$2,ROW(Comparacao!$G$7:$G$200)),ROW(376:376))-4,1),"")</f>
        <v/>
      </c>
      <c r="G380" t="str">
        <f>IFERROR(VLOOKUP(F380,Lista2[],2,FALSE),"")</f>
        <v/>
      </c>
      <c r="H380" s="1" t="str">
        <f>VLOOKUP(Filtro!F380,Comparacao!$G$7:$J$200,3,FALSE)</f>
        <v/>
      </c>
      <c r="I380" s="1" t="str">
        <f>VLOOKUP(Filtro!F380,Comparacao!$G$7:$J$200,4,FALSE)</f>
        <v/>
      </c>
    </row>
    <row r="381" spans="1:9" x14ac:dyDescent="0.25">
      <c r="A381" s="3" t="str">
        <f t="array" ref="A381">IFERROR(INDEX(Comparacao!$A$7:$A$200,SMALL(IF(Comparacao!$E$7:$E$200=$A$2,ROW(Comparacao!$A$7:$A$200)),ROW(377:377))-4,1),"")</f>
        <v/>
      </c>
      <c r="B381" s="3" t="str">
        <f>IFERROR(VLOOKUP(A381,Lista1[],2,FALSE),"")</f>
        <v/>
      </c>
      <c r="C381" s="1" t="str">
        <f>VLOOKUP(Filtro!A381,Comparacao!$A$7:$D$200,3,FALSE)</f>
        <v/>
      </c>
      <c r="D381" s="1" t="str">
        <f>VLOOKUP(Filtro!A381,Comparacao!$A$7:$D$200,4,FALSE)</f>
        <v/>
      </c>
      <c r="F381" t="str">
        <f t="array" ref="F381">IFERROR(INDEX(Comparacao!$G$7:$G$200,SMALL(IF(Comparacao!$K$7:$K$200=$A$2,ROW(Comparacao!$G$7:$G$200)),ROW(377:377))-4,1),"")</f>
        <v/>
      </c>
      <c r="G381" t="str">
        <f>IFERROR(VLOOKUP(F381,Lista2[],2,FALSE),"")</f>
        <v/>
      </c>
      <c r="H381" s="1" t="str">
        <f>VLOOKUP(Filtro!F381,Comparacao!$G$7:$J$200,3,FALSE)</f>
        <v/>
      </c>
      <c r="I381" s="1" t="str">
        <f>VLOOKUP(Filtro!F381,Comparacao!$G$7:$J$200,4,FALSE)</f>
        <v/>
      </c>
    </row>
    <row r="382" spans="1:9" x14ac:dyDescent="0.25">
      <c r="A382" s="3" t="str">
        <f t="array" ref="A382">IFERROR(INDEX(Comparacao!$A$7:$A$200,SMALL(IF(Comparacao!$E$7:$E$200=$A$2,ROW(Comparacao!$A$7:$A$200)),ROW(378:378))-4,1),"")</f>
        <v/>
      </c>
      <c r="B382" s="3" t="str">
        <f>IFERROR(VLOOKUP(A382,Lista1[],2,FALSE),"")</f>
        <v/>
      </c>
      <c r="C382" s="1" t="str">
        <f>VLOOKUP(Filtro!A382,Comparacao!$A$7:$D$200,3,FALSE)</f>
        <v/>
      </c>
      <c r="D382" s="1" t="str">
        <f>VLOOKUP(Filtro!A382,Comparacao!$A$7:$D$200,4,FALSE)</f>
        <v/>
      </c>
      <c r="F382" t="str">
        <f t="array" ref="F382">IFERROR(INDEX(Comparacao!$G$7:$G$200,SMALL(IF(Comparacao!$K$7:$K$200=$A$2,ROW(Comparacao!$G$7:$G$200)),ROW(378:378))-4,1),"")</f>
        <v/>
      </c>
      <c r="G382" t="str">
        <f>IFERROR(VLOOKUP(F382,Lista2[],2,FALSE),"")</f>
        <v/>
      </c>
      <c r="H382" s="1" t="str">
        <f>VLOOKUP(Filtro!F382,Comparacao!$G$7:$J$200,3,FALSE)</f>
        <v/>
      </c>
      <c r="I382" s="1" t="str">
        <f>VLOOKUP(Filtro!F382,Comparacao!$G$7:$J$200,4,FALSE)</f>
        <v/>
      </c>
    </row>
    <row r="383" spans="1:9" x14ac:dyDescent="0.25">
      <c r="A383" s="3" t="str">
        <f t="array" ref="A383">IFERROR(INDEX(Comparacao!$A$7:$A$200,SMALL(IF(Comparacao!$E$7:$E$200=$A$2,ROW(Comparacao!$A$7:$A$200)),ROW(379:379))-4,1),"")</f>
        <v/>
      </c>
      <c r="B383" s="3" t="str">
        <f>IFERROR(VLOOKUP(A383,Lista1[],2,FALSE),"")</f>
        <v/>
      </c>
      <c r="C383" s="1" t="str">
        <f>VLOOKUP(Filtro!A383,Comparacao!$A$7:$D$200,3,FALSE)</f>
        <v/>
      </c>
      <c r="D383" s="1" t="str">
        <f>VLOOKUP(Filtro!A383,Comparacao!$A$7:$D$200,4,FALSE)</f>
        <v/>
      </c>
      <c r="F383" t="str">
        <f t="array" ref="F383">IFERROR(INDEX(Comparacao!$G$7:$G$200,SMALL(IF(Comparacao!$K$7:$K$200=$A$2,ROW(Comparacao!$G$7:$G$200)),ROW(379:379))-4,1),"")</f>
        <v/>
      </c>
      <c r="G383" t="str">
        <f>IFERROR(VLOOKUP(F383,Lista2[],2,FALSE),"")</f>
        <v/>
      </c>
      <c r="H383" s="1" t="str">
        <f>VLOOKUP(Filtro!F383,Comparacao!$G$7:$J$200,3,FALSE)</f>
        <v/>
      </c>
      <c r="I383" s="1" t="str">
        <f>VLOOKUP(Filtro!F383,Comparacao!$G$7:$J$200,4,FALSE)</f>
        <v/>
      </c>
    </row>
    <row r="384" spans="1:9" x14ac:dyDescent="0.25">
      <c r="A384" s="3" t="str">
        <f t="array" ref="A384">IFERROR(INDEX(Comparacao!$A$7:$A$200,SMALL(IF(Comparacao!$E$7:$E$200=$A$2,ROW(Comparacao!$A$7:$A$200)),ROW(380:380))-4,1),"")</f>
        <v/>
      </c>
      <c r="B384" s="3" t="str">
        <f>IFERROR(VLOOKUP(A384,Lista1[],2,FALSE),"")</f>
        <v/>
      </c>
      <c r="C384" s="1" t="str">
        <f>VLOOKUP(Filtro!A384,Comparacao!$A$7:$D$200,3,FALSE)</f>
        <v/>
      </c>
      <c r="D384" s="1" t="str">
        <f>VLOOKUP(Filtro!A384,Comparacao!$A$7:$D$200,4,FALSE)</f>
        <v/>
      </c>
      <c r="F384" t="str">
        <f t="array" ref="F384">IFERROR(INDEX(Comparacao!$G$7:$G$200,SMALL(IF(Comparacao!$K$7:$K$200=$A$2,ROW(Comparacao!$G$7:$G$200)),ROW(380:380))-4,1),"")</f>
        <v/>
      </c>
      <c r="G384" t="str">
        <f>IFERROR(VLOOKUP(F384,Lista2[],2,FALSE),"")</f>
        <v/>
      </c>
      <c r="H384" s="1" t="str">
        <f>VLOOKUP(Filtro!F384,Comparacao!$G$7:$J$200,3,FALSE)</f>
        <v/>
      </c>
      <c r="I384" s="1" t="str">
        <f>VLOOKUP(Filtro!F384,Comparacao!$G$7:$J$200,4,FALSE)</f>
        <v/>
      </c>
    </row>
    <row r="385" spans="1:9" x14ac:dyDescent="0.25">
      <c r="A385" s="3" t="str">
        <f t="array" ref="A385">IFERROR(INDEX(Comparacao!$A$7:$A$200,SMALL(IF(Comparacao!$E$7:$E$200=$A$2,ROW(Comparacao!$A$7:$A$200)),ROW(381:381))-4,1),"")</f>
        <v/>
      </c>
      <c r="B385" s="3" t="str">
        <f>IFERROR(VLOOKUP(A385,Lista1[],2,FALSE),"")</f>
        <v/>
      </c>
      <c r="C385" s="1" t="str">
        <f>VLOOKUP(Filtro!A385,Comparacao!$A$7:$D$200,3,FALSE)</f>
        <v/>
      </c>
      <c r="D385" s="1" t="str">
        <f>VLOOKUP(Filtro!A385,Comparacao!$A$7:$D$200,4,FALSE)</f>
        <v/>
      </c>
      <c r="F385" t="str">
        <f t="array" ref="F385">IFERROR(INDEX(Comparacao!$G$7:$G$200,SMALL(IF(Comparacao!$K$7:$K$200=$A$2,ROW(Comparacao!$G$7:$G$200)),ROW(381:381))-4,1),"")</f>
        <v/>
      </c>
      <c r="G385" t="str">
        <f>IFERROR(VLOOKUP(F385,Lista2[],2,FALSE),"")</f>
        <v/>
      </c>
      <c r="H385" s="1" t="str">
        <f>VLOOKUP(Filtro!F385,Comparacao!$G$7:$J$200,3,FALSE)</f>
        <v/>
      </c>
      <c r="I385" s="1" t="str">
        <f>VLOOKUP(Filtro!F385,Comparacao!$G$7:$J$200,4,FALSE)</f>
        <v/>
      </c>
    </row>
    <row r="386" spans="1:9" x14ac:dyDescent="0.25">
      <c r="A386" s="3" t="str">
        <f t="array" ref="A386">IFERROR(INDEX(Comparacao!$A$7:$A$200,SMALL(IF(Comparacao!$E$7:$E$200=$A$2,ROW(Comparacao!$A$7:$A$200)),ROW(382:382))-4,1),"")</f>
        <v/>
      </c>
      <c r="B386" s="3" t="str">
        <f>IFERROR(VLOOKUP(A386,Lista1[],2,FALSE),"")</f>
        <v/>
      </c>
      <c r="C386" s="1" t="str">
        <f>VLOOKUP(Filtro!A386,Comparacao!$A$7:$D$200,3,FALSE)</f>
        <v/>
      </c>
      <c r="D386" s="1" t="str">
        <f>VLOOKUP(Filtro!A386,Comparacao!$A$7:$D$200,4,FALSE)</f>
        <v/>
      </c>
      <c r="F386" t="str">
        <f t="array" ref="F386">IFERROR(INDEX(Comparacao!$G$7:$G$200,SMALL(IF(Comparacao!$K$7:$K$200=$A$2,ROW(Comparacao!$G$7:$G$200)),ROW(382:382))-4,1),"")</f>
        <v/>
      </c>
      <c r="G386" t="str">
        <f>IFERROR(VLOOKUP(F386,Lista2[],2,FALSE),"")</f>
        <v/>
      </c>
      <c r="H386" s="1" t="str">
        <f>VLOOKUP(Filtro!F386,Comparacao!$G$7:$J$200,3,FALSE)</f>
        <v/>
      </c>
      <c r="I386" s="1" t="str">
        <f>VLOOKUP(Filtro!F386,Comparacao!$G$7:$J$200,4,FALSE)</f>
        <v/>
      </c>
    </row>
    <row r="387" spans="1:9" x14ac:dyDescent="0.25">
      <c r="A387" s="3" t="str">
        <f t="array" ref="A387">IFERROR(INDEX(Comparacao!$A$7:$A$200,SMALL(IF(Comparacao!$E$7:$E$200=$A$2,ROW(Comparacao!$A$7:$A$200)),ROW(383:383))-4,1),"")</f>
        <v/>
      </c>
      <c r="B387" s="3" t="str">
        <f>IFERROR(VLOOKUP(A387,Lista1[],2,FALSE),"")</f>
        <v/>
      </c>
      <c r="C387" s="1" t="str">
        <f>VLOOKUP(Filtro!A387,Comparacao!$A$7:$D$200,3,FALSE)</f>
        <v/>
      </c>
      <c r="D387" s="1" t="str">
        <f>VLOOKUP(Filtro!A387,Comparacao!$A$7:$D$200,4,FALSE)</f>
        <v/>
      </c>
      <c r="F387" t="str">
        <f t="array" ref="F387">IFERROR(INDEX(Comparacao!$G$7:$G$200,SMALL(IF(Comparacao!$K$7:$K$200=$A$2,ROW(Comparacao!$G$7:$G$200)),ROW(383:383))-4,1),"")</f>
        <v/>
      </c>
      <c r="G387" t="str">
        <f>IFERROR(VLOOKUP(F387,Lista2[],2,FALSE),"")</f>
        <v/>
      </c>
      <c r="H387" s="1" t="str">
        <f>VLOOKUP(Filtro!F387,Comparacao!$G$7:$J$200,3,FALSE)</f>
        <v/>
      </c>
      <c r="I387" s="1" t="str">
        <f>VLOOKUP(Filtro!F387,Comparacao!$G$7:$J$200,4,FALSE)</f>
        <v/>
      </c>
    </row>
    <row r="388" spans="1:9" x14ac:dyDescent="0.25">
      <c r="A388" s="3" t="str">
        <f t="array" ref="A388">IFERROR(INDEX(Comparacao!$A$7:$A$200,SMALL(IF(Comparacao!$E$7:$E$200=$A$2,ROW(Comparacao!$A$7:$A$200)),ROW(384:384))-4,1),"")</f>
        <v/>
      </c>
      <c r="B388" s="3" t="str">
        <f>IFERROR(VLOOKUP(A388,Lista1[],2,FALSE),"")</f>
        <v/>
      </c>
      <c r="C388" s="1" t="str">
        <f>VLOOKUP(Filtro!A388,Comparacao!$A$7:$D$200,3,FALSE)</f>
        <v/>
      </c>
      <c r="D388" s="1" t="str">
        <f>VLOOKUP(Filtro!A388,Comparacao!$A$7:$D$200,4,FALSE)</f>
        <v/>
      </c>
      <c r="F388" t="str">
        <f t="array" ref="F388">IFERROR(INDEX(Comparacao!$G$7:$G$200,SMALL(IF(Comparacao!$K$7:$K$200=$A$2,ROW(Comparacao!$G$7:$G$200)),ROW(384:384))-4,1),"")</f>
        <v/>
      </c>
      <c r="G388" t="str">
        <f>IFERROR(VLOOKUP(F388,Lista2[],2,FALSE),"")</f>
        <v/>
      </c>
      <c r="H388" s="1" t="str">
        <f>VLOOKUP(Filtro!F388,Comparacao!$G$7:$J$200,3,FALSE)</f>
        <v/>
      </c>
      <c r="I388" s="1" t="str">
        <f>VLOOKUP(Filtro!F388,Comparacao!$G$7:$J$200,4,FALSE)</f>
        <v/>
      </c>
    </row>
    <row r="389" spans="1:9" x14ac:dyDescent="0.25">
      <c r="A389" s="3" t="str">
        <f t="array" ref="A389">IFERROR(INDEX(Comparacao!$A$7:$A$200,SMALL(IF(Comparacao!$E$7:$E$200=$A$2,ROW(Comparacao!$A$7:$A$200)),ROW(385:385))-4,1),"")</f>
        <v/>
      </c>
      <c r="B389" s="3" t="str">
        <f>IFERROR(VLOOKUP(A389,Lista1[],2,FALSE),"")</f>
        <v/>
      </c>
      <c r="C389" s="1" t="str">
        <f>VLOOKUP(Filtro!A389,Comparacao!$A$7:$D$200,3,FALSE)</f>
        <v/>
      </c>
      <c r="D389" s="1" t="str">
        <f>VLOOKUP(Filtro!A389,Comparacao!$A$7:$D$200,4,FALSE)</f>
        <v/>
      </c>
      <c r="F389" t="str">
        <f t="array" ref="F389">IFERROR(INDEX(Comparacao!$G$7:$G$200,SMALL(IF(Comparacao!$K$7:$K$200=$A$2,ROW(Comparacao!$G$7:$G$200)),ROW(385:385))-4,1),"")</f>
        <v/>
      </c>
      <c r="G389" t="str">
        <f>IFERROR(VLOOKUP(F389,Lista2[],2,FALSE),"")</f>
        <v/>
      </c>
      <c r="H389" s="1" t="str">
        <f>VLOOKUP(Filtro!F389,Comparacao!$G$7:$J$200,3,FALSE)</f>
        <v/>
      </c>
      <c r="I389" s="1" t="str">
        <f>VLOOKUP(Filtro!F389,Comparacao!$G$7:$J$200,4,FALSE)</f>
        <v/>
      </c>
    </row>
    <row r="390" spans="1:9" x14ac:dyDescent="0.25">
      <c r="A390" s="3" t="str">
        <f t="array" ref="A390">IFERROR(INDEX(Comparacao!$A$7:$A$200,SMALL(IF(Comparacao!$E$7:$E$200=$A$2,ROW(Comparacao!$A$7:$A$200)),ROW(386:386))-4,1),"")</f>
        <v/>
      </c>
      <c r="B390" s="3" t="str">
        <f>IFERROR(VLOOKUP(A390,Lista1[],2,FALSE),"")</f>
        <v/>
      </c>
      <c r="C390" s="1" t="str">
        <f>VLOOKUP(Filtro!A390,Comparacao!$A$7:$D$200,3,FALSE)</f>
        <v/>
      </c>
      <c r="D390" s="1" t="str">
        <f>VLOOKUP(Filtro!A390,Comparacao!$A$7:$D$200,4,FALSE)</f>
        <v/>
      </c>
      <c r="F390" t="str">
        <f t="array" ref="F390">IFERROR(INDEX(Comparacao!$G$7:$G$200,SMALL(IF(Comparacao!$K$7:$K$200=$A$2,ROW(Comparacao!$G$7:$G$200)),ROW(386:386))-4,1),"")</f>
        <v/>
      </c>
      <c r="G390" t="str">
        <f>IFERROR(VLOOKUP(F390,Lista2[],2,FALSE),"")</f>
        <v/>
      </c>
      <c r="H390" s="1" t="str">
        <f>VLOOKUP(Filtro!F390,Comparacao!$G$7:$J$200,3,FALSE)</f>
        <v/>
      </c>
      <c r="I390" s="1" t="str">
        <f>VLOOKUP(Filtro!F390,Comparacao!$G$7:$J$200,4,FALSE)</f>
        <v/>
      </c>
    </row>
    <row r="391" spans="1:9" x14ac:dyDescent="0.25">
      <c r="A391" s="3" t="str">
        <f t="array" ref="A391">IFERROR(INDEX(Comparacao!$A$7:$A$200,SMALL(IF(Comparacao!$E$7:$E$200=$A$2,ROW(Comparacao!$A$7:$A$200)),ROW(387:387))-4,1),"")</f>
        <v/>
      </c>
      <c r="B391" s="3" t="str">
        <f>IFERROR(VLOOKUP(A391,Lista1[],2,FALSE),"")</f>
        <v/>
      </c>
      <c r="C391" s="1" t="str">
        <f>VLOOKUP(Filtro!A391,Comparacao!$A$7:$D$200,3,FALSE)</f>
        <v/>
      </c>
      <c r="D391" s="1" t="str">
        <f>VLOOKUP(Filtro!A391,Comparacao!$A$7:$D$200,4,FALSE)</f>
        <v/>
      </c>
      <c r="F391" t="str">
        <f t="array" ref="F391">IFERROR(INDEX(Comparacao!$G$7:$G$200,SMALL(IF(Comparacao!$K$7:$K$200=$A$2,ROW(Comparacao!$G$7:$G$200)),ROW(387:387))-4,1),"")</f>
        <v/>
      </c>
      <c r="G391" t="str">
        <f>IFERROR(VLOOKUP(F391,Lista2[],2,FALSE),"")</f>
        <v/>
      </c>
      <c r="H391" s="1" t="str">
        <f>VLOOKUP(Filtro!F391,Comparacao!$G$7:$J$200,3,FALSE)</f>
        <v/>
      </c>
      <c r="I391" s="1" t="str">
        <f>VLOOKUP(Filtro!F391,Comparacao!$G$7:$J$200,4,FALSE)</f>
        <v/>
      </c>
    </row>
    <row r="392" spans="1:9" x14ac:dyDescent="0.25">
      <c r="A392" s="3" t="str">
        <f t="array" ref="A392">IFERROR(INDEX(Comparacao!$A$7:$A$200,SMALL(IF(Comparacao!$E$7:$E$200=$A$2,ROW(Comparacao!$A$7:$A$200)),ROW(388:388))-4,1),"")</f>
        <v/>
      </c>
      <c r="B392" s="3" t="str">
        <f>IFERROR(VLOOKUP(A392,Lista1[],2,FALSE),"")</f>
        <v/>
      </c>
      <c r="C392" s="1" t="str">
        <f>VLOOKUP(Filtro!A392,Comparacao!$A$7:$D$200,3,FALSE)</f>
        <v/>
      </c>
      <c r="D392" s="1" t="str">
        <f>VLOOKUP(Filtro!A392,Comparacao!$A$7:$D$200,4,FALSE)</f>
        <v/>
      </c>
      <c r="F392" t="str">
        <f t="array" ref="F392">IFERROR(INDEX(Comparacao!$G$7:$G$200,SMALL(IF(Comparacao!$K$7:$K$200=$A$2,ROW(Comparacao!$G$7:$G$200)),ROW(388:388))-4,1),"")</f>
        <v/>
      </c>
      <c r="G392" t="str">
        <f>IFERROR(VLOOKUP(F392,Lista2[],2,FALSE),"")</f>
        <v/>
      </c>
      <c r="H392" s="1" t="str">
        <f>VLOOKUP(Filtro!F392,Comparacao!$G$7:$J$200,3,FALSE)</f>
        <v/>
      </c>
      <c r="I392" s="1" t="str">
        <f>VLOOKUP(Filtro!F392,Comparacao!$G$7:$J$200,4,FALSE)</f>
        <v/>
      </c>
    </row>
    <row r="393" spans="1:9" x14ac:dyDescent="0.25">
      <c r="A393" s="3" t="str">
        <f t="array" ref="A393">IFERROR(INDEX(Comparacao!$A$7:$A$200,SMALL(IF(Comparacao!$E$7:$E$200=$A$2,ROW(Comparacao!$A$7:$A$200)),ROW(389:389))-4,1),"")</f>
        <v/>
      </c>
      <c r="B393" s="3" t="str">
        <f>IFERROR(VLOOKUP(A393,Lista1[],2,FALSE),"")</f>
        <v/>
      </c>
      <c r="C393" s="1" t="str">
        <f>VLOOKUP(Filtro!A393,Comparacao!$A$7:$D$200,3,FALSE)</f>
        <v/>
      </c>
      <c r="D393" s="1" t="str">
        <f>VLOOKUP(Filtro!A393,Comparacao!$A$7:$D$200,4,FALSE)</f>
        <v/>
      </c>
      <c r="F393" t="str">
        <f t="array" ref="F393">IFERROR(INDEX(Comparacao!$G$7:$G$200,SMALL(IF(Comparacao!$K$7:$K$200=$A$2,ROW(Comparacao!$G$7:$G$200)),ROW(389:389))-4,1),"")</f>
        <v/>
      </c>
      <c r="G393" t="str">
        <f>IFERROR(VLOOKUP(F393,Lista2[],2,FALSE),"")</f>
        <v/>
      </c>
      <c r="H393" s="1" t="str">
        <f>VLOOKUP(Filtro!F393,Comparacao!$G$7:$J$200,3,FALSE)</f>
        <v/>
      </c>
      <c r="I393" s="1" t="str">
        <f>VLOOKUP(Filtro!F393,Comparacao!$G$7:$J$200,4,FALSE)</f>
        <v/>
      </c>
    </row>
    <row r="394" spans="1:9" x14ac:dyDescent="0.25">
      <c r="A394" s="3" t="str">
        <f t="array" ref="A394">IFERROR(INDEX(Comparacao!$A$7:$A$200,SMALL(IF(Comparacao!$E$7:$E$200=$A$2,ROW(Comparacao!$A$7:$A$200)),ROW(390:390))-4,1),"")</f>
        <v/>
      </c>
      <c r="B394" s="3" t="str">
        <f>IFERROR(VLOOKUP(A394,Lista1[],2,FALSE),"")</f>
        <v/>
      </c>
      <c r="C394" s="1" t="str">
        <f>VLOOKUP(Filtro!A394,Comparacao!$A$7:$D$200,3,FALSE)</f>
        <v/>
      </c>
      <c r="D394" s="1" t="str">
        <f>VLOOKUP(Filtro!A394,Comparacao!$A$7:$D$200,4,FALSE)</f>
        <v/>
      </c>
      <c r="F394" t="str">
        <f t="array" ref="F394">IFERROR(INDEX(Comparacao!$G$7:$G$200,SMALL(IF(Comparacao!$K$7:$K$200=$A$2,ROW(Comparacao!$G$7:$G$200)),ROW(390:390))-4,1),"")</f>
        <v/>
      </c>
      <c r="G394" t="str">
        <f>IFERROR(VLOOKUP(F394,Lista2[],2,FALSE),"")</f>
        <v/>
      </c>
      <c r="H394" s="1" t="str">
        <f>VLOOKUP(Filtro!F394,Comparacao!$G$7:$J$200,3,FALSE)</f>
        <v/>
      </c>
      <c r="I394" s="1" t="str">
        <f>VLOOKUP(Filtro!F394,Comparacao!$G$7:$J$200,4,FALSE)</f>
        <v/>
      </c>
    </row>
    <row r="395" spans="1:9" x14ac:dyDescent="0.25">
      <c r="A395" s="3" t="str">
        <f t="array" ref="A395">IFERROR(INDEX(Comparacao!$A$7:$A$200,SMALL(IF(Comparacao!$E$7:$E$200=$A$2,ROW(Comparacao!$A$7:$A$200)),ROW(391:391))-4,1),"")</f>
        <v/>
      </c>
      <c r="B395" s="3" t="str">
        <f>IFERROR(VLOOKUP(A395,Lista1[],2,FALSE),"")</f>
        <v/>
      </c>
      <c r="C395" s="1" t="str">
        <f>VLOOKUP(Filtro!A395,Comparacao!$A$7:$D$200,3,FALSE)</f>
        <v/>
      </c>
      <c r="D395" s="1" t="str">
        <f>VLOOKUP(Filtro!A395,Comparacao!$A$7:$D$200,4,FALSE)</f>
        <v/>
      </c>
      <c r="F395" t="str">
        <f t="array" ref="F395">IFERROR(INDEX(Comparacao!$G$7:$G$200,SMALL(IF(Comparacao!$K$7:$K$200=$A$2,ROW(Comparacao!$G$7:$G$200)),ROW(391:391))-4,1),"")</f>
        <v/>
      </c>
      <c r="G395" t="str">
        <f>IFERROR(VLOOKUP(F395,Lista2[],2,FALSE),"")</f>
        <v/>
      </c>
      <c r="H395" s="1" t="str">
        <f>VLOOKUP(Filtro!F395,Comparacao!$G$7:$J$200,3,FALSE)</f>
        <v/>
      </c>
      <c r="I395" s="1" t="str">
        <f>VLOOKUP(Filtro!F395,Comparacao!$G$7:$J$200,4,FALSE)</f>
        <v/>
      </c>
    </row>
    <row r="396" spans="1:9" x14ac:dyDescent="0.25">
      <c r="A396" s="3" t="str">
        <f t="array" ref="A396">IFERROR(INDEX(Comparacao!$A$7:$A$200,SMALL(IF(Comparacao!$E$7:$E$200=$A$2,ROW(Comparacao!$A$7:$A$200)),ROW(392:392))-4,1),"")</f>
        <v/>
      </c>
      <c r="B396" s="3" t="str">
        <f>IFERROR(VLOOKUP(A396,Lista1[],2,FALSE),"")</f>
        <v/>
      </c>
      <c r="C396" s="1" t="str">
        <f>VLOOKUP(Filtro!A396,Comparacao!$A$7:$D$200,3,FALSE)</f>
        <v/>
      </c>
      <c r="D396" s="1" t="str">
        <f>VLOOKUP(Filtro!A396,Comparacao!$A$7:$D$200,4,FALSE)</f>
        <v/>
      </c>
      <c r="F396" t="str">
        <f t="array" ref="F396">IFERROR(INDEX(Comparacao!$G$7:$G$200,SMALL(IF(Comparacao!$K$7:$K$200=$A$2,ROW(Comparacao!$G$7:$G$200)),ROW(392:392))-4,1),"")</f>
        <v/>
      </c>
      <c r="G396" t="str">
        <f>IFERROR(VLOOKUP(F396,Lista2[],2,FALSE),"")</f>
        <v/>
      </c>
      <c r="H396" s="1" t="str">
        <f>VLOOKUP(Filtro!F396,Comparacao!$G$7:$J$200,3,FALSE)</f>
        <v/>
      </c>
      <c r="I396" s="1" t="str">
        <f>VLOOKUP(Filtro!F396,Comparacao!$G$7:$J$200,4,FALSE)</f>
        <v/>
      </c>
    </row>
    <row r="397" spans="1:9" x14ac:dyDescent="0.25">
      <c r="A397" s="3" t="str">
        <f t="array" ref="A397">IFERROR(INDEX(Comparacao!$A$7:$A$200,SMALL(IF(Comparacao!$E$7:$E$200=$A$2,ROW(Comparacao!$A$7:$A$200)),ROW(393:393))-4,1),"")</f>
        <v/>
      </c>
      <c r="B397" s="3" t="str">
        <f>IFERROR(VLOOKUP(A397,Lista1[],2,FALSE),"")</f>
        <v/>
      </c>
      <c r="C397" s="1" t="str">
        <f>VLOOKUP(Filtro!A397,Comparacao!$A$7:$D$200,3,FALSE)</f>
        <v/>
      </c>
      <c r="D397" s="1" t="str">
        <f>VLOOKUP(Filtro!A397,Comparacao!$A$7:$D$200,4,FALSE)</f>
        <v/>
      </c>
      <c r="F397" t="str">
        <f t="array" ref="F397">IFERROR(INDEX(Comparacao!$G$7:$G$200,SMALL(IF(Comparacao!$K$7:$K$200=$A$2,ROW(Comparacao!$G$7:$G$200)),ROW(393:393))-4,1),"")</f>
        <v/>
      </c>
      <c r="G397" t="str">
        <f>IFERROR(VLOOKUP(F397,Lista2[],2,FALSE),"")</f>
        <v/>
      </c>
      <c r="H397" s="1" t="str">
        <f>VLOOKUP(Filtro!F397,Comparacao!$G$7:$J$200,3,FALSE)</f>
        <v/>
      </c>
      <c r="I397" s="1" t="str">
        <f>VLOOKUP(Filtro!F397,Comparacao!$G$7:$J$200,4,FALSE)</f>
        <v/>
      </c>
    </row>
    <row r="398" spans="1:9" x14ac:dyDescent="0.25">
      <c r="A398" s="3" t="str">
        <f t="array" ref="A398">IFERROR(INDEX(Comparacao!$A$7:$A$200,SMALL(IF(Comparacao!$E$7:$E$200=$A$2,ROW(Comparacao!$A$7:$A$200)),ROW(394:394))-4,1),"")</f>
        <v/>
      </c>
      <c r="B398" s="3" t="str">
        <f>IFERROR(VLOOKUP(A398,Lista1[],2,FALSE),"")</f>
        <v/>
      </c>
      <c r="C398" s="1" t="str">
        <f>VLOOKUP(Filtro!A398,Comparacao!$A$7:$D$200,3,FALSE)</f>
        <v/>
      </c>
      <c r="D398" s="1" t="str">
        <f>VLOOKUP(Filtro!A398,Comparacao!$A$7:$D$200,4,FALSE)</f>
        <v/>
      </c>
      <c r="F398" t="str">
        <f t="array" ref="F398">IFERROR(INDEX(Comparacao!$G$7:$G$200,SMALL(IF(Comparacao!$K$7:$K$200=$A$2,ROW(Comparacao!$G$7:$G$200)),ROW(394:394))-4,1),"")</f>
        <v/>
      </c>
      <c r="G398" t="str">
        <f>IFERROR(VLOOKUP(F398,Lista2[],2,FALSE),"")</f>
        <v/>
      </c>
      <c r="H398" s="1" t="str">
        <f>VLOOKUP(Filtro!F398,Comparacao!$G$7:$J$200,3,FALSE)</f>
        <v/>
      </c>
      <c r="I398" s="1" t="str">
        <f>VLOOKUP(Filtro!F398,Comparacao!$G$7:$J$200,4,FALSE)</f>
        <v/>
      </c>
    </row>
    <row r="399" spans="1:9" x14ac:dyDescent="0.25">
      <c r="A399" s="3" t="str">
        <f t="array" ref="A399">IFERROR(INDEX(Comparacao!$A$7:$A$200,SMALL(IF(Comparacao!$E$7:$E$200=$A$2,ROW(Comparacao!$A$7:$A$200)),ROW(395:395))-4,1),"")</f>
        <v/>
      </c>
      <c r="B399" s="3" t="str">
        <f>IFERROR(VLOOKUP(A399,Lista1[],2,FALSE),"")</f>
        <v/>
      </c>
      <c r="C399" s="1" t="str">
        <f>VLOOKUP(Filtro!A399,Comparacao!$A$7:$D$200,3,FALSE)</f>
        <v/>
      </c>
      <c r="D399" s="1" t="str">
        <f>VLOOKUP(Filtro!A399,Comparacao!$A$7:$D$200,4,FALSE)</f>
        <v/>
      </c>
      <c r="F399" t="str">
        <f t="array" ref="F399">IFERROR(INDEX(Comparacao!$G$7:$G$200,SMALL(IF(Comparacao!$K$7:$K$200=$A$2,ROW(Comparacao!$G$7:$G$200)),ROW(395:395))-4,1),"")</f>
        <v/>
      </c>
      <c r="G399" t="str">
        <f>IFERROR(VLOOKUP(F399,Lista2[],2,FALSE),"")</f>
        <v/>
      </c>
      <c r="H399" s="1" t="str">
        <f>VLOOKUP(Filtro!F399,Comparacao!$G$7:$J$200,3,FALSE)</f>
        <v/>
      </c>
      <c r="I399" s="1" t="str">
        <f>VLOOKUP(Filtro!F399,Comparacao!$G$7:$J$200,4,FALSE)</f>
        <v/>
      </c>
    </row>
    <row r="400" spans="1:9" x14ac:dyDescent="0.25">
      <c r="A400" s="3" t="str">
        <f t="array" ref="A400">IFERROR(INDEX(Comparacao!$A$7:$A$200,SMALL(IF(Comparacao!$E$7:$E$200=$A$2,ROW(Comparacao!$A$7:$A$200)),ROW(396:396))-4,1),"")</f>
        <v/>
      </c>
      <c r="B400" s="3" t="str">
        <f>IFERROR(VLOOKUP(A400,Lista1[],2,FALSE),"")</f>
        <v/>
      </c>
      <c r="C400" s="1" t="str">
        <f>VLOOKUP(Filtro!A400,Comparacao!$A$7:$D$200,3,FALSE)</f>
        <v/>
      </c>
      <c r="D400" s="1" t="str">
        <f>VLOOKUP(Filtro!A400,Comparacao!$A$7:$D$200,4,FALSE)</f>
        <v/>
      </c>
      <c r="F400" t="str">
        <f t="array" ref="F400">IFERROR(INDEX(Comparacao!$G$7:$G$200,SMALL(IF(Comparacao!$K$7:$K$200=$A$2,ROW(Comparacao!$G$7:$G$200)),ROW(396:396))-4,1),"")</f>
        <v/>
      </c>
      <c r="G400" t="str">
        <f>IFERROR(VLOOKUP(F400,Lista2[],2,FALSE),"")</f>
        <v/>
      </c>
      <c r="H400" s="1" t="str">
        <f>VLOOKUP(Filtro!F400,Comparacao!$G$7:$J$200,3,FALSE)</f>
        <v/>
      </c>
      <c r="I400" s="1" t="str">
        <f>VLOOKUP(Filtro!F400,Comparacao!$G$7:$J$200,4,FALSE)</f>
        <v/>
      </c>
    </row>
    <row r="401" spans="1:9" x14ac:dyDescent="0.25">
      <c r="A401" s="3" t="str">
        <f t="array" ref="A401">IFERROR(INDEX(Comparacao!$A$7:$A$200,SMALL(IF(Comparacao!$E$7:$E$200=$A$2,ROW(Comparacao!$A$7:$A$200)),ROW(397:397))-4,1),"")</f>
        <v/>
      </c>
      <c r="B401" s="3" t="str">
        <f>IFERROR(VLOOKUP(A401,Lista1[],2,FALSE),"")</f>
        <v/>
      </c>
      <c r="C401" s="1" t="str">
        <f>VLOOKUP(Filtro!A401,Comparacao!$A$7:$D$200,3,FALSE)</f>
        <v/>
      </c>
      <c r="D401" s="1" t="str">
        <f>VLOOKUP(Filtro!A401,Comparacao!$A$7:$D$200,4,FALSE)</f>
        <v/>
      </c>
      <c r="F401" t="str">
        <f t="array" ref="F401">IFERROR(INDEX(Comparacao!$G$7:$G$200,SMALL(IF(Comparacao!$K$7:$K$200=$A$2,ROW(Comparacao!$G$7:$G$200)),ROW(397:397))-4,1),"")</f>
        <v/>
      </c>
      <c r="G401" t="str">
        <f>IFERROR(VLOOKUP(F401,Lista2[],2,FALSE),"")</f>
        <v/>
      </c>
      <c r="H401" s="1" t="str">
        <f>VLOOKUP(Filtro!F401,Comparacao!$G$7:$J$200,3,FALSE)</f>
        <v/>
      </c>
      <c r="I401" s="1" t="str">
        <f>VLOOKUP(Filtro!F401,Comparacao!$G$7:$J$200,4,FALSE)</f>
        <v/>
      </c>
    </row>
    <row r="402" spans="1:9" x14ac:dyDescent="0.25">
      <c r="A402" s="3" t="str">
        <f t="array" ref="A402">IFERROR(INDEX(Comparacao!$A$7:$A$200,SMALL(IF(Comparacao!$E$7:$E$200=$A$2,ROW(Comparacao!$A$7:$A$200)),ROW(398:398))-4,1),"")</f>
        <v/>
      </c>
      <c r="B402" s="3" t="str">
        <f>IFERROR(VLOOKUP(A402,Lista1[],2,FALSE),"")</f>
        <v/>
      </c>
      <c r="C402" s="1" t="str">
        <f>VLOOKUP(Filtro!A402,Comparacao!$A$7:$D$200,3,FALSE)</f>
        <v/>
      </c>
      <c r="D402" s="1" t="str">
        <f>VLOOKUP(Filtro!A402,Comparacao!$A$7:$D$200,4,FALSE)</f>
        <v/>
      </c>
      <c r="F402" t="str">
        <f t="array" ref="F402">IFERROR(INDEX(Comparacao!$G$7:$G$200,SMALL(IF(Comparacao!$K$7:$K$200=$A$2,ROW(Comparacao!$G$7:$G$200)),ROW(398:398))-4,1),"")</f>
        <v/>
      </c>
      <c r="G402" t="str">
        <f>IFERROR(VLOOKUP(F402,Lista2[],2,FALSE),"")</f>
        <v/>
      </c>
      <c r="H402" s="1" t="str">
        <f>VLOOKUP(Filtro!F402,Comparacao!$G$7:$J$200,3,FALSE)</f>
        <v/>
      </c>
      <c r="I402" s="1" t="str">
        <f>VLOOKUP(Filtro!F402,Comparacao!$G$7:$J$200,4,FALSE)</f>
        <v/>
      </c>
    </row>
    <row r="403" spans="1:9" x14ac:dyDescent="0.25">
      <c r="A403" s="3" t="str">
        <f t="array" ref="A403">IFERROR(INDEX(Comparacao!$A$7:$A$200,SMALL(IF(Comparacao!$E$7:$E$200=$A$2,ROW(Comparacao!$A$7:$A$200)),ROW(399:399))-4,1),"")</f>
        <v/>
      </c>
      <c r="B403" s="3" t="str">
        <f>IFERROR(VLOOKUP(A403,Lista1[],2,FALSE),"")</f>
        <v/>
      </c>
      <c r="C403" s="1" t="str">
        <f>VLOOKUP(Filtro!A403,Comparacao!$A$7:$D$200,3,FALSE)</f>
        <v/>
      </c>
      <c r="D403" s="1" t="str">
        <f>VLOOKUP(Filtro!A403,Comparacao!$A$7:$D$200,4,FALSE)</f>
        <v/>
      </c>
      <c r="F403" t="str">
        <f t="array" ref="F403">IFERROR(INDEX(Comparacao!$G$7:$G$200,SMALL(IF(Comparacao!$K$7:$K$200=$A$2,ROW(Comparacao!$G$7:$G$200)),ROW(399:399))-4,1),"")</f>
        <v/>
      </c>
      <c r="G403" t="str">
        <f>IFERROR(VLOOKUP(F403,Lista2[],2,FALSE),"")</f>
        <v/>
      </c>
      <c r="H403" s="1" t="str">
        <f>VLOOKUP(Filtro!F403,Comparacao!$G$7:$J$200,3,FALSE)</f>
        <v/>
      </c>
      <c r="I403" s="1" t="str">
        <f>VLOOKUP(Filtro!F403,Comparacao!$G$7:$J$200,4,FALSE)</f>
        <v/>
      </c>
    </row>
    <row r="404" spans="1:9" x14ac:dyDescent="0.25">
      <c r="A404" s="3" t="str">
        <f t="array" ref="A404">IFERROR(INDEX(Comparacao!$A$7:$A$200,SMALL(IF(Comparacao!$E$7:$E$200=$A$2,ROW(Comparacao!$A$7:$A$200)),ROW(400:400))-4,1),"")</f>
        <v/>
      </c>
      <c r="B404" s="3" t="str">
        <f>IFERROR(VLOOKUP(A404,Lista1[],2,FALSE),"")</f>
        <v/>
      </c>
      <c r="C404" s="1" t="str">
        <f>VLOOKUP(Filtro!A404,Comparacao!$A$7:$D$200,3,FALSE)</f>
        <v/>
      </c>
      <c r="D404" s="1" t="str">
        <f>VLOOKUP(Filtro!A404,Comparacao!$A$7:$D$200,4,FALSE)</f>
        <v/>
      </c>
      <c r="F404" t="str">
        <f t="array" ref="F404">IFERROR(INDEX(Comparacao!$G$7:$G$200,SMALL(IF(Comparacao!$K$7:$K$200=$A$2,ROW(Comparacao!$G$7:$G$200)),ROW(400:400))-4,1),"")</f>
        <v/>
      </c>
      <c r="G404" t="str">
        <f>IFERROR(VLOOKUP(F404,Lista2[],2,FALSE),"")</f>
        <v/>
      </c>
      <c r="H404" s="1" t="str">
        <f>VLOOKUP(Filtro!F404,Comparacao!$G$7:$J$200,3,FALSE)</f>
        <v/>
      </c>
      <c r="I404" s="1" t="str">
        <f>VLOOKUP(Filtro!F404,Comparacao!$G$7:$J$200,4,FALSE)</f>
        <v/>
      </c>
    </row>
    <row r="405" spans="1:9" x14ac:dyDescent="0.25">
      <c r="A405" s="3" t="str">
        <f t="array" ref="A405">IFERROR(INDEX(Comparacao!$A$7:$A$200,SMALL(IF(Comparacao!$E$7:$E$200=$A$2,ROW(Comparacao!$A$7:$A$200)),ROW(401:401))-4,1),"")</f>
        <v/>
      </c>
      <c r="B405" s="3" t="str">
        <f>IFERROR(VLOOKUP(A405,Lista1[],2,FALSE),"")</f>
        <v/>
      </c>
      <c r="C405" s="1" t="str">
        <f>VLOOKUP(Filtro!A405,Comparacao!$A$7:$D$200,3,FALSE)</f>
        <v/>
      </c>
      <c r="D405" s="1" t="str">
        <f>VLOOKUP(Filtro!A405,Comparacao!$A$7:$D$200,4,FALSE)</f>
        <v/>
      </c>
      <c r="F405" t="str">
        <f t="array" ref="F405">IFERROR(INDEX(Comparacao!$G$7:$G$200,SMALL(IF(Comparacao!$K$7:$K$200=$A$2,ROW(Comparacao!$G$7:$G$200)),ROW(401:401))-4,1),"")</f>
        <v/>
      </c>
      <c r="G405" t="str">
        <f>IFERROR(VLOOKUP(F405,Lista2[],2,FALSE),"")</f>
        <v/>
      </c>
      <c r="H405" s="1" t="str">
        <f>VLOOKUP(Filtro!F405,Comparacao!$G$7:$J$200,3,FALSE)</f>
        <v/>
      </c>
      <c r="I405" s="1" t="str">
        <f>VLOOKUP(Filtro!F405,Comparacao!$G$7:$J$200,4,FALSE)</f>
        <v/>
      </c>
    </row>
    <row r="406" spans="1:9" x14ac:dyDescent="0.25">
      <c r="A406" s="3" t="str">
        <f t="array" ref="A406">IFERROR(INDEX(Comparacao!$A$7:$A$200,SMALL(IF(Comparacao!$E$7:$E$200=$A$2,ROW(Comparacao!$A$7:$A$200)),ROW(402:402))-4,1),"")</f>
        <v/>
      </c>
      <c r="B406" s="3" t="str">
        <f>IFERROR(VLOOKUP(A406,Lista1[],2,FALSE),"")</f>
        <v/>
      </c>
      <c r="C406" s="1" t="str">
        <f>VLOOKUP(Filtro!A406,Comparacao!$A$7:$D$200,3,FALSE)</f>
        <v/>
      </c>
      <c r="D406" s="1" t="str">
        <f>VLOOKUP(Filtro!A406,Comparacao!$A$7:$D$200,4,FALSE)</f>
        <v/>
      </c>
      <c r="F406" t="str">
        <f t="array" ref="F406">IFERROR(INDEX(Comparacao!$G$7:$G$200,SMALL(IF(Comparacao!$K$7:$K$200=$A$2,ROW(Comparacao!$G$7:$G$200)),ROW(402:402))-4,1),"")</f>
        <v/>
      </c>
      <c r="G406" t="str">
        <f>IFERROR(VLOOKUP(F406,Lista2[],2,FALSE),"")</f>
        <v/>
      </c>
      <c r="H406" s="1" t="str">
        <f>VLOOKUP(Filtro!F406,Comparacao!$G$7:$J$200,3,FALSE)</f>
        <v/>
      </c>
      <c r="I406" s="1" t="str">
        <f>VLOOKUP(Filtro!F406,Comparacao!$G$7:$J$200,4,FALSE)</f>
        <v/>
      </c>
    </row>
    <row r="407" spans="1:9" x14ac:dyDescent="0.25">
      <c r="A407" s="3" t="str">
        <f t="array" ref="A407">IFERROR(INDEX(Comparacao!$A$7:$A$200,SMALL(IF(Comparacao!$E$7:$E$200=$A$2,ROW(Comparacao!$A$7:$A$200)),ROW(403:403))-4,1),"")</f>
        <v/>
      </c>
      <c r="B407" s="3" t="str">
        <f>IFERROR(VLOOKUP(A407,Lista1[],2,FALSE),"")</f>
        <v/>
      </c>
      <c r="C407" s="1" t="str">
        <f>VLOOKUP(Filtro!A407,Comparacao!$A$7:$D$200,3,FALSE)</f>
        <v/>
      </c>
      <c r="D407" s="1" t="str">
        <f>VLOOKUP(Filtro!A407,Comparacao!$A$7:$D$200,4,FALSE)</f>
        <v/>
      </c>
      <c r="F407" t="str">
        <f t="array" ref="F407">IFERROR(INDEX(Comparacao!$G$7:$G$200,SMALL(IF(Comparacao!$K$7:$K$200=$A$2,ROW(Comparacao!$G$7:$G$200)),ROW(403:403))-4,1),"")</f>
        <v/>
      </c>
      <c r="G407" t="str">
        <f>IFERROR(VLOOKUP(F407,Lista2[],2,FALSE),"")</f>
        <v/>
      </c>
      <c r="H407" s="1" t="str">
        <f>VLOOKUP(Filtro!F407,Comparacao!$G$7:$J$200,3,FALSE)</f>
        <v/>
      </c>
      <c r="I407" s="1" t="str">
        <f>VLOOKUP(Filtro!F407,Comparacao!$G$7:$J$200,4,FALSE)</f>
        <v/>
      </c>
    </row>
    <row r="408" spans="1:9" x14ac:dyDescent="0.25">
      <c r="A408" s="3" t="str">
        <f t="array" ref="A408">IFERROR(INDEX(Comparacao!$A$7:$A$200,SMALL(IF(Comparacao!$E$7:$E$200=$A$2,ROW(Comparacao!$A$7:$A$200)),ROW(404:404))-4,1),"")</f>
        <v/>
      </c>
      <c r="B408" s="3" t="str">
        <f>IFERROR(VLOOKUP(A408,Lista1[],2,FALSE),"")</f>
        <v/>
      </c>
      <c r="C408" s="1" t="str">
        <f>VLOOKUP(Filtro!A408,Comparacao!$A$7:$D$200,3,FALSE)</f>
        <v/>
      </c>
      <c r="D408" s="1" t="str">
        <f>VLOOKUP(Filtro!A408,Comparacao!$A$7:$D$200,4,FALSE)</f>
        <v/>
      </c>
      <c r="F408" t="str">
        <f t="array" ref="F408">IFERROR(INDEX(Comparacao!$G$7:$G$200,SMALL(IF(Comparacao!$K$7:$K$200=$A$2,ROW(Comparacao!$G$7:$G$200)),ROW(404:404))-4,1),"")</f>
        <v/>
      </c>
      <c r="G408" t="str">
        <f>IFERROR(VLOOKUP(F408,Lista2[],2,FALSE),"")</f>
        <v/>
      </c>
      <c r="H408" s="1" t="str">
        <f>VLOOKUP(Filtro!F408,Comparacao!$G$7:$J$200,3,FALSE)</f>
        <v/>
      </c>
      <c r="I408" s="1" t="str">
        <f>VLOOKUP(Filtro!F408,Comparacao!$G$7:$J$200,4,FALSE)</f>
        <v/>
      </c>
    </row>
    <row r="409" spans="1:9" x14ac:dyDescent="0.25">
      <c r="A409" s="3" t="str">
        <f t="array" ref="A409">IFERROR(INDEX(Comparacao!$A$7:$A$200,SMALL(IF(Comparacao!$E$7:$E$200=$A$2,ROW(Comparacao!$A$7:$A$200)),ROW(405:405))-4,1),"")</f>
        <v/>
      </c>
      <c r="B409" s="3" t="str">
        <f>IFERROR(VLOOKUP(A409,Lista1[],2,FALSE),"")</f>
        <v/>
      </c>
      <c r="C409" s="1" t="str">
        <f>VLOOKUP(Filtro!A409,Comparacao!$A$7:$D$200,3,FALSE)</f>
        <v/>
      </c>
      <c r="D409" s="1" t="str">
        <f>VLOOKUP(Filtro!A409,Comparacao!$A$7:$D$200,4,FALSE)</f>
        <v/>
      </c>
      <c r="F409" t="str">
        <f t="array" ref="F409">IFERROR(INDEX(Comparacao!$G$7:$G$200,SMALL(IF(Comparacao!$K$7:$K$200=$A$2,ROW(Comparacao!$G$7:$G$200)),ROW(405:405))-4,1),"")</f>
        <v/>
      </c>
      <c r="G409" t="str">
        <f>IFERROR(VLOOKUP(F409,Lista2[],2,FALSE),"")</f>
        <v/>
      </c>
      <c r="H409" s="1" t="str">
        <f>VLOOKUP(Filtro!F409,Comparacao!$G$7:$J$200,3,FALSE)</f>
        <v/>
      </c>
      <c r="I409" s="1" t="str">
        <f>VLOOKUP(Filtro!F409,Comparacao!$G$7:$J$200,4,FALSE)</f>
        <v/>
      </c>
    </row>
    <row r="410" spans="1:9" x14ac:dyDescent="0.25">
      <c r="A410" s="3" t="str">
        <f t="array" ref="A410">IFERROR(INDEX(Comparacao!$A$7:$A$200,SMALL(IF(Comparacao!$E$7:$E$200=$A$2,ROW(Comparacao!$A$7:$A$200)),ROW(406:406))-4,1),"")</f>
        <v/>
      </c>
      <c r="B410" s="3" t="str">
        <f>IFERROR(VLOOKUP(A410,Lista1[],2,FALSE),"")</f>
        <v/>
      </c>
      <c r="C410" s="1" t="str">
        <f>VLOOKUP(Filtro!A410,Comparacao!$A$7:$D$200,3,FALSE)</f>
        <v/>
      </c>
      <c r="D410" s="1" t="str">
        <f>VLOOKUP(Filtro!A410,Comparacao!$A$7:$D$200,4,FALSE)</f>
        <v/>
      </c>
      <c r="F410" t="str">
        <f t="array" ref="F410">IFERROR(INDEX(Comparacao!$G$7:$G$200,SMALL(IF(Comparacao!$K$7:$K$200=$A$2,ROW(Comparacao!$G$7:$G$200)),ROW(406:406))-4,1),"")</f>
        <v/>
      </c>
      <c r="G410" t="str">
        <f>IFERROR(VLOOKUP(F410,Lista2[],2,FALSE),"")</f>
        <v/>
      </c>
      <c r="H410" s="1" t="str">
        <f>VLOOKUP(Filtro!F410,Comparacao!$G$7:$J$200,3,FALSE)</f>
        <v/>
      </c>
      <c r="I410" s="1" t="str">
        <f>VLOOKUP(Filtro!F410,Comparacao!$G$7:$J$200,4,FALSE)</f>
        <v/>
      </c>
    </row>
    <row r="411" spans="1:9" x14ac:dyDescent="0.25">
      <c r="A411" s="3" t="str">
        <f t="array" ref="A411">IFERROR(INDEX(Comparacao!$A$7:$A$200,SMALL(IF(Comparacao!$E$7:$E$200=$A$2,ROW(Comparacao!$A$7:$A$200)),ROW(407:407))-4,1),"")</f>
        <v/>
      </c>
      <c r="B411" s="3" t="str">
        <f>IFERROR(VLOOKUP(A411,Lista1[],2,FALSE),"")</f>
        <v/>
      </c>
      <c r="C411" s="1" t="str">
        <f>VLOOKUP(Filtro!A411,Comparacao!$A$7:$D$200,3,FALSE)</f>
        <v/>
      </c>
      <c r="D411" s="1" t="str">
        <f>VLOOKUP(Filtro!A411,Comparacao!$A$7:$D$200,4,FALSE)</f>
        <v/>
      </c>
      <c r="F411" t="str">
        <f t="array" ref="F411">IFERROR(INDEX(Comparacao!$G$7:$G$200,SMALL(IF(Comparacao!$K$7:$K$200=$A$2,ROW(Comparacao!$G$7:$G$200)),ROW(407:407))-4,1),"")</f>
        <v/>
      </c>
      <c r="G411" t="str">
        <f>IFERROR(VLOOKUP(F411,Lista2[],2,FALSE),"")</f>
        <v/>
      </c>
      <c r="H411" s="1" t="str">
        <f>VLOOKUP(Filtro!F411,Comparacao!$G$7:$J$200,3,FALSE)</f>
        <v/>
      </c>
      <c r="I411" s="1" t="str">
        <f>VLOOKUP(Filtro!F411,Comparacao!$G$7:$J$200,4,FALSE)</f>
        <v/>
      </c>
    </row>
    <row r="412" spans="1:9" x14ac:dyDescent="0.25">
      <c r="A412" s="3" t="str">
        <f t="array" ref="A412">IFERROR(INDEX(Comparacao!$A$7:$A$200,SMALL(IF(Comparacao!$E$7:$E$200=$A$2,ROW(Comparacao!$A$7:$A$200)),ROW(408:408))-4,1),"")</f>
        <v/>
      </c>
      <c r="B412" s="3" t="str">
        <f>IFERROR(VLOOKUP(A412,Lista1[],2,FALSE),"")</f>
        <v/>
      </c>
      <c r="C412" s="1" t="str">
        <f>VLOOKUP(Filtro!A412,Comparacao!$A$7:$D$200,3,FALSE)</f>
        <v/>
      </c>
      <c r="D412" s="1" t="str">
        <f>VLOOKUP(Filtro!A412,Comparacao!$A$7:$D$200,4,FALSE)</f>
        <v/>
      </c>
      <c r="F412" t="str">
        <f t="array" ref="F412">IFERROR(INDEX(Comparacao!$G$7:$G$200,SMALL(IF(Comparacao!$K$7:$K$200=$A$2,ROW(Comparacao!$G$7:$G$200)),ROW(408:408))-4,1),"")</f>
        <v/>
      </c>
      <c r="G412" t="str">
        <f>IFERROR(VLOOKUP(F412,Lista2[],2,FALSE),"")</f>
        <v/>
      </c>
      <c r="H412" s="1" t="str">
        <f>VLOOKUP(Filtro!F412,Comparacao!$G$7:$J$200,3,FALSE)</f>
        <v/>
      </c>
      <c r="I412" s="1" t="str">
        <f>VLOOKUP(Filtro!F412,Comparacao!$G$7:$J$200,4,FALSE)</f>
        <v/>
      </c>
    </row>
    <row r="413" spans="1:9" x14ac:dyDescent="0.25">
      <c r="A413" s="3" t="str">
        <f t="array" ref="A413">IFERROR(INDEX(Comparacao!$A$7:$A$200,SMALL(IF(Comparacao!$E$7:$E$200=$A$2,ROW(Comparacao!$A$7:$A$200)),ROW(409:409))-4,1),"")</f>
        <v/>
      </c>
      <c r="B413" s="3" t="str">
        <f>IFERROR(VLOOKUP(A413,Lista1[],2,FALSE),"")</f>
        <v/>
      </c>
      <c r="C413" s="1" t="str">
        <f>VLOOKUP(Filtro!A413,Comparacao!$A$7:$D$200,3,FALSE)</f>
        <v/>
      </c>
      <c r="D413" s="1" t="str">
        <f>VLOOKUP(Filtro!A413,Comparacao!$A$7:$D$200,4,FALSE)</f>
        <v/>
      </c>
      <c r="F413" t="str">
        <f t="array" ref="F413">IFERROR(INDEX(Comparacao!$G$7:$G$200,SMALL(IF(Comparacao!$K$7:$K$200=$A$2,ROW(Comparacao!$G$7:$G$200)),ROW(409:409))-4,1),"")</f>
        <v/>
      </c>
      <c r="G413" t="str">
        <f>IFERROR(VLOOKUP(F413,Lista2[],2,FALSE),"")</f>
        <v/>
      </c>
      <c r="H413" s="1" t="str">
        <f>VLOOKUP(Filtro!F413,Comparacao!$G$7:$J$200,3,FALSE)</f>
        <v/>
      </c>
      <c r="I413" s="1" t="str">
        <f>VLOOKUP(Filtro!F413,Comparacao!$G$7:$J$200,4,FALSE)</f>
        <v/>
      </c>
    </row>
    <row r="414" spans="1:9" x14ac:dyDescent="0.25">
      <c r="A414" s="3" t="str">
        <f t="array" ref="A414">IFERROR(INDEX(Comparacao!$A$7:$A$200,SMALL(IF(Comparacao!$E$7:$E$200=$A$2,ROW(Comparacao!$A$7:$A$200)),ROW(410:410))-4,1),"")</f>
        <v/>
      </c>
      <c r="B414" s="3" t="str">
        <f>IFERROR(VLOOKUP(A414,Lista1[],2,FALSE),"")</f>
        <v/>
      </c>
      <c r="C414" s="1" t="str">
        <f>VLOOKUP(Filtro!A414,Comparacao!$A$7:$D$200,3,FALSE)</f>
        <v/>
      </c>
      <c r="D414" s="1" t="str">
        <f>VLOOKUP(Filtro!A414,Comparacao!$A$7:$D$200,4,FALSE)</f>
        <v/>
      </c>
      <c r="F414" t="str">
        <f t="array" ref="F414">IFERROR(INDEX(Comparacao!$G$7:$G$200,SMALL(IF(Comparacao!$K$7:$K$200=$A$2,ROW(Comparacao!$G$7:$G$200)),ROW(410:410))-4,1),"")</f>
        <v/>
      </c>
      <c r="G414" t="str">
        <f>IFERROR(VLOOKUP(F414,Lista2[],2,FALSE),"")</f>
        <v/>
      </c>
      <c r="H414" s="1" t="str">
        <f>VLOOKUP(Filtro!F414,Comparacao!$G$7:$J$200,3,FALSE)</f>
        <v/>
      </c>
      <c r="I414" s="1" t="str">
        <f>VLOOKUP(Filtro!F414,Comparacao!$G$7:$J$200,4,FALSE)</f>
        <v/>
      </c>
    </row>
    <row r="415" spans="1:9" x14ac:dyDescent="0.25">
      <c r="A415" s="3" t="str">
        <f t="array" ref="A415">IFERROR(INDEX(Comparacao!$A$7:$A$200,SMALL(IF(Comparacao!$E$7:$E$200=$A$2,ROW(Comparacao!$A$7:$A$200)),ROW(411:411))-4,1),"")</f>
        <v/>
      </c>
      <c r="B415" s="3" t="str">
        <f>IFERROR(VLOOKUP(A415,Lista1[],2,FALSE),"")</f>
        <v/>
      </c>
      <c r="C415" s="1" t="str">
        <f>VLOOKUP(Filtro!A415,Comparacao!$A$7:$D$200,3,FALSE)</f>
        <v/>
      </c>
      <c r="D415" s="1" t="str">
        <f>VLOOKUP(Filtro!A415,Comparacao!$A$7:$D$200,4,FALSE)</f>
        <v/>
      </c>
      <c r="F415" t="str">
        <f t="array" ref="F415">IFERROR(INDEX(Comparacao!$G$7:$G$200,SMALL(IF(Comparacao!$K$7:$K$200=$A$2,ROW(Comparacao!$G$7:$G$200)),ROW(411:411))-4,1),"")</f>
        <v/>
      </c>
      <c r="G415" t="str">
        <f>IFERROR(VLOOKUP(F415,Lista2[],2,FALSE),"")</f>
        <v/>
      </c>
      <c r="H415" s="1" t="str">
        <f>VLOOKUP(Filtro!F415,Comparacao!$G$7:$J$200,3,FALSE)</f>
        <v/>
      </c>
      <c r="I415" s="1" t="str">
        <f>VLOOKUP(Filtro!F415,Comparacao!$G$7:$J$200,4,FALSE)</f>
        <v/>
      </c>
    </row>
    <row r="416" spans="1:9" x14ac:dyDescent="0.25">
      <c r="A416" s="3" t="str">
        <f t="array" ref="A416">IFERROR(INDEX(Comparacao!$A$7:$A$200,SMALL(IF(Comparacao!$E$7:$E$200=$A$2,ROW(Comparacao!$A$7:$A$200)),ROW(412:412))-4,1),"")</f>
        <v/>
      </c>
      <c r="B416" s="3" t="str">
        <f>IFERROR(VLOOKUP(A416,Lista1[],2,FALSE),"")</f>
        <v/>
      </c>
      <c r="C416" s="1" t="str">
        <f>VLOOKUP(Filtro!A416,Comparacao!$A$7:$D$200,3,FALSE)</f>
        <v/>
      </c>
      <c r="D416" s="1" t="str">
        <f>VLOOKUP(Filtro!A416,Comparacao!$A$7:$D$200,4,FALSE)</f>
        <v/>
      </c>
      <c r="F416" t="str">
        <f t="array" ref="F416">IFERROR(INDEX(Comparacao!$G$7:$G$200,SMALL(IF(Comparacao!$K$7:$K$200=$A$2,ROW(Comparacao!$G$7:$G$200)),ROW(412:412))-4,1),"")</f>
        <v/>
      </c>
      <c r="G416" t="str">
        <f>IFERROR(VLOOKUP(F416,Lista2[],2,FALSE),"")</f>
        <v/>
      </c>
      <c r="H416" s="1" t="str">
        <f>VLOOKUP(Filtro!F416,Comparacao!$G$7:$J$200,3,FALSE)</f>
        <v/>
      </c>
      <c r="I416" s="1" t="str">
        <f>VLOOKUP(Filtro!F416,Comparacao!$G$7:$J$200,4,FALSE)</f>
        <v/>
      </c>
    </row>
    <row r="417" spans="1:9" x14ac:dyDescent="0.25">
      <c r="A417" s="3" t="str">
        <f t="array" ref="A417">IFERROR(INDEX(Comparacao!$A$7:$A$200,SMALL(IF(Comparacao!$E$7:$E$200=$A$2,ROW(Comparacao!$A$7:$A$200)),ROW(413:413))-4,1),"")</f>
        <v/>
      </c>
      <c r="B417" s="3" t="str">
        <f>IFERROR(VLOOKUP(A417,Lista1[],2,FALSE),"")</f>
        <v/>
      </c>
      <c r="C417" s="1" t="str">
        <f>VLOOKUP(Filtro!A417,Comparacao!$A$7:$D$200,3,FALSE)</f>
        <v/>
      </c>
      <c r="D417" s="1" t="str">
        <f>VLOOKUP(Filtro!A417,Comparacao!$A$7:$D$200,4,FALSE)</f>
        <v/>
      </c>
      <c r="F417" t="str">
        <f t="array" ref="F417">IFERROR(INDEX(Comparacao!$G$7:$G$200,SMALL(IF(Comparacao!$K$7:$K$200=$A$2,ROW(Comparacao!$G$7:$G$200)),ROW(413:413))-4,1),"")</f>
        <v/>
      </c>
      <c r="G417" t="str">
        <f>IFERROR(VLOOKUP(F417,Lista2[],2,FALSE),"")</f>
        <v/>
      </c>
      <c r="H417" s="1" t="str">
        <f>VLOOKUP(Filtro!F417,Comparacao!$G$7:$J$200,3,FALSE)</f>
        <v/>
      </c>
      <c r="I417" s="1" t="str">
        <f>VLOOKUP(Filtro!F417,Comparacao!$G$7:$J$200,4,FALSE)</f>
        <v/>
      </c>
    </row>
    <row r="418" spans="1:9" x14ac:dyDescent="0.25">
      <c r="A418" s="3" t="str">
        <f t="array" ref="A418">IFERROR(INDEX(Comparacao!$A$7:$A$200,SMALL(IF(Comparacao!$E$7:$E$200=$A$2,ROW(Comparacao!$A$7:$A$200)),ROW(414:414))-4,1),"")</f>
        <v/>
      </c>
      <c r="B418" s="3" t="str">
        <f>IFERROR(VLOOKUP(A418,Lista1[],2,FALSE),"")</f>
        <v/>
      </c>
      <c r="C418" s="1" t="str">
        <f>VLOOKUP(Filtro!A418,Comparacao!$A$7:$D$200,3,FALSE)</f>
        <v/>
      </c>
      <c r="D418" s="1" t="str">
        <f>VLOOKUP(Filtro!A418,Comparacao!$A$7:$D$200,4,FALSE)</f>
        <v/>
      </c>
      <c r="F418" t="str">
        <f t="array" ref="F418">IFERROR(INDEX(Comparacao!$G$7:$G$200,SMALL(IF(Comparacao!$K$7:$K$200=$A$2,ROW(Comparacao!$G$7:$G$200)),ROW(414:414))-4,1),"")</f>
        <v/>
      </c>
      <c r="G418" t="str">
        <f>IFERROR(VLOOKUP(F418,Lista2[],2,FALSE),"")</f>
        <v/>
      </c>
      <c r="H418" s="1" t="str">
        <f>VLOOKUP(Filtro!F418,Comparacao!$G$7:$J$200,3,FALSE)</f>
        <v/>
      </c>
      <c r="I418" s="1" t="str">
        <f>VLOOKUP(Filtro!F418,Comparacao!$G$7:$J$200,4,FALSE)</f>
        <v/>
      </c>
    </row>
    <row r="419" spans="1:9" x14ac:dyDescent="0.25">
      <c r="A419" s="3" t="str">
        <f t="array" ref="A419">IFERROR(INDEX(Comparacao!$A$7:$A$200,SMALL(IF(Comparacao!$E$7:$E$200=$A$2,ROW(Comparacao!$A$7:$A$200)),ROW(415:415))-4,1),"")</f>
        <v/>
      </c>
      <c r="B419" s="3" t="str">
        <f>IFERROR(VLOOKUP(A419,Lista1[],2,FALSE),"")</f>
        <v/>
      </c>
      <c r="C419" s="1" t="str">
        <f>VLOOKUP(Filtro!A419,Comparacao!$A$7:$D$200,3,FALSE)</f>
        <v/>
      </c>
      <c r="D419" s="1" t="str">
        <f>VLOOKUP(Filtro!A419,Comparacao!$A$7:$D$200,4,FALSE)</f>
        <v/>
      </c>
      <c r="F419" t="str">
        <f t="array" ref="F419">IFERROR(INDEX(Comparacao!$G$7:$G$200,SMALL(IF(Comparacao!$K$7:$K$200=$A$2,ROW(Comparacao!$G$7:$G$200)),ROW(415:415))-4,1),"")</f>
        <v/>
      </c>
      <c r="G419" t="str">
        <f>IFERROR(VLOOKUP(F419,Lista2[],2,FALSE),"")</f>
        <v/>
      </c>
      <c r="H419" s="1" t="str">
        <f>VLOOKUP(Filtro!F419,Comparacao!$G$7:$J$200,3,FALSE)</f>
        <v/>
      </c>
      <c r="I419" s="1" t="str">
        <f>VLOOKUP(Filtro!F419,Comparacao!$G$7:$J$200,4,FALSE)</f>
        <v/>
      </c>
    </row>
    <row r="420" spans="1:9" x14ac:dyDescent="0.25">
      <c r="A420" s="3" t="str">
        <f t="array" ref="A420">IFERROR(INDEX(Comparacao!$A$7:$A$200,SMALL(IF(Comparacao!$E$7:$E$200=$A$2,ROW(Comparacao!$A$7:$A$200)),ROW(416:416))-4,1),"")</f>
        <v/>
      </c>
      <c r="B420" s="3" t="str">
        <f>IFERROR(VLOOKUP(A420,Lista1[],2,FALSE),"")</f>
        <v/>
      </c>
      <c r="C420" s="1" t="str">
        <f>VLOOKUP(Filtro!A420,Comparacao!$A$7:$D$200,3,FALSE)</f>
        <v/>
      </c>
      <c r="D420" s="1" t="str">
        <f>VLOOKUP(Filtro!A420,Comparacao!$A$7:$D$200,4,FALSE)</f>
        <v/>
      </c>
      <c r="F420" t="str">
        <f t="array" ref="F420">IFERROR(INDEX(Comparacao!$G$7:$G$200,SMALL(IF(Comparacao!$K$7:$K$200=$A$2,ROW(Comparacao!$G$7:$G$200)),ROW(416:416))-4,1),"")</f>
        <v/>
      </c>
      <c r="G420" t="str">
        <f>IFERROR(VLOOKUP(F420,Lista2[],2,FALSE),"")</f>
        <v/>
      </c>
      <c r="H420" s="1" t="str">
        <f>VLOOKUP(Filtro!F420,Comparacao!$G$7:$J$200,3,FALSE)</f>
        <v/>
      </c>
      <c r="I420" s="1" t="str">
        <f>VLOOKUP(Filtro!F420,Comparacao!$G$7:$J$200,4,FALSE)</f>
        <v/>
      </c>
    </row>
    <row r="421" spans="1:9" x14ac:dyDescent="0.25">
      <c r="A421" s="3" t="str">
        <f t="array" ref="A421">IFERROR(INDEX(Comparacao!$A$7:$A$200,SMALL(IF(Comparacao!$E$7:$E$200=$A$2,ROW(Comparacao!$A$7:$A$200)),ROW(417:417))-4,1),"")</f>
        <v/>
      </c>
      <c r="B421" s="3" t="str">
        <f>IFERROR(VLOOKUP(A421,Lista1[],2,FALSE),"")</f>
        <v/>
      </c>
      <c r="C421" s="1" t="str">
        <f>VLOOKUP(Filtro!A421,Comparacao!$A$7:$D$200,3,FALSE)</f>
        <v/>
      </c>
      <c r="D421" s="1" t="str">
        <f>VLOOKUP(Filtro!A421,Comparacao!$A$7:$D$200,4,FALSE)</f>
        <v/>
      </c>
      <c r="F421" t="str">
        <f t="array" ref="F421">IFERROR(INDEX(Comparacao!$G$7:$G$200,SMALL(IF(Comparacao!$K$7:$K$200=$A$2,ROW(Comparacao!$G$7:$G$200)),ROW(417:417))-4,1),"")</f>
        <v/>
      </c>
      <c r="G421" t="str">
        <f>IFERROR(VLOOKUP(F421,Lista2[],2,FALSE),"")</f>
        <v/>
      </c>
      <c r="H421" s="1" t="str">
        <f>VLOOKUP(Filtro!F421,Comparacao!$G$7:$J$200,3,FALSE)</f>
        <v/>
      </c>
      <c r="I421" s="1" t="str">
        <f>VLOOKUP(Filtro!F421,Comparacao!$G$7:$J$200,4,FALSE)</f>
        <v/>
      </c>
    </row>
    <row r="422" spans="1:9" x14ac:dyDescent="0.25">
      <c r="A422" s="3" t="str">
        <f t="array" ref="A422">IFERROR(INDEX(Comparacao!$A$7:$A$200,SMALL(IF(Comparacao!$E$7:$E$200=$A$2,ROW(Comparacao!$A$7:$A$200)),ROW(418:418))-4,1),"")</f>
        <v/>
      </c>
      <c r="B422" s="3" t="str">
        <f>IFERROR(VLOOKUP(A422,Lista1[],2,FALSE),"")</f>
        <v/>
      </c>
      <c r="C422" s="1" t="str">
        <f>VLOOKUP(Filtro!A422,Comparacao!$A$7:$D$200,3,FALSE)</f>
        <v/>
      </c>
      <c r="D422" s="1" t="str">
        <f>VLOOKUP(Filtro!A422,Comparacao!$A$7:$D$200,4,FALSE)</f>
        <v/>
      </c>
      <c r="F422" t="str">
        <f t="array" ref="F422">IFERROR(INDEX(Comparacao!$G$7:$G$200,SMALL(IF(Comparacao!$K$7:$K$200=$A$2,ROW(Comparacao!$G$7:$G$200)),ROW(418:418))-4,1),"")</f>
        <v/>
      </c>
      <c r="G422" t="str">
        <f>IFERROR(VLOOKUP(F422,Lista2[],2,FALSE),"")</f>
        <v/>
      </c>
      <c r="H422" s="1" t="str">
        <f>VLOOKUP(Filtro!F422,Comparacao!$G$7:$J$200,3,FALSE)</f>
        <v/>
      </c>
      <c r="I422" s="1" t="str">
        <f>VLOOKUP(Filtro!F422,Comparacao!$G$7:$J$200,4,FALSE)</f>
        <v/>
      </c>
    </row>
    <row r="423" spans="1:9" x14ac:dyDescent="0.25">
      <c r="A423" s="3" t="str">
        <f t="array" ref="A423">IFERROR(INDEX(Comparacao!$A$7:$A$200,SMALL(IF(Comparacao!$E$7:$E$200=$A$2,ROW(Comparacao!$A$7:$A$200)),ROW(419:419))-4,1),"")</f>
        <v/>
      </c>
      <c r="B423" s="3" t="str">
        <f>IFERROR(VLOOKUP(A423,Lista1[],2,FALSE),"")</f>
        <v/>
      </c>
      <c r="C423" s="1" t="str">
        <f>VLOOKUP(Filtro!A423,Comparacao!$A$7:$D$200,3,FALSE)</f>
        <v/>
      </c>
      <c r="D423" s="1" t="str">
        <f>VLOOKUP(Filtro!A423,Comparacao!$A$7:$D$200,4,FALSE)</f>
        <v/>
      </c>
      <c r="F423" t="str">
        <f t="array" ref="F423">IFERROR(INDEX(Comparacao!$G$7:$G$200,SMALL(IF(Comparacao!$K$7:$K$200=$A$2,ROW(Comparacao!$G$7:$G$200)),ROW(419:419))-4,1),"")</f>
        <v/>
      </c>
      <c r="G423" t="str">
        <f>IFERROR(VLOOKUP(F423,Lista2[],2,FALSE),"")</f>
        <v/>
      </c>
      <c r="H423" s="1" t="str">
        <f>VLOOKUP(Filtro!F423,Comparacao!$G$7:$J$200,3,FALSE)</f>
        <v/>
      </c>
      <c r="I423" s="1" t="str">
        <f>VLOOKUP(Filtro!F423,Comparacao!$G$7:$J$200,4,FALSE)</f>
        <v/>
      </c>
    </row>
    <row r="424" spans="1:9" x14ac:dyDescent="0.25">
      <c r="A424" s="3" t="str">
        <f t="array" ref="A424">IFERROR(INDEX(Comparacao!$A$7:$A$200,SMALL(IF(Comparacao!$E$7:$E$200=$A$2,ROW(Comparacao!$A$7:$A$200)),ROW(420:420))-4,1),"")</f>
        <v/>
      </c>
      <c r="B424" s="3" t="str">
        <f>IFERROR(VLOOKUP(A424,Lista1[],2,FALSE),"")</f>
        <v/>
      </c>
      <c r="C424" s="1" t="str">
        <f>VLOOKUP(Filtro!A424,Comparacao!$A$7:$D$200,3,FALSE)</f>
        <v/>
      </c>
      <c r="D424" s="1" t="str">
        <f>VLOOKUP(Filtro!A424,Comparacao!$A$7:$D$200,4,FALSE)</f>
        <v/>
      </c>
      <c r="F424" t="str">
        <f t="array" ref="F424">IFERROR(INDEX(Comparacao!$G$7:$G$200,SMALL(IF(Comparacao!$K$7:$K$200=$A$2,ROW(Comparacao!$G$7:$G$200)),ROW(420:420))-4,1),"")</f>
        <v/>
      </c>
      <c r="G424" t="str">
        <f>IFERROR(VLOOKUP(F424,Lista2[],2,FALSE),"")</f>
        <v/>
      </c>
      <c r="H424" s="1" t="str">
        <f>VLOOKUP(Filtro!F424,Comparacao!$G$7:$J$200,3,FALSE)</f>
        <v/>
      </c>
      <c r="I424" s="1" t="str">
        <f>VLOOKUP(Filtro!F424,Comparacao!$G$7:$J$200,4,FALSE)</f>
        <v/>
      </c>
    </row>
    <row r="425" spans="1:9" x14ac:dyDescent="0.25">
      <c r="A425" s="3" t="str">
        <f t="array" ref="A425">IFERROR(INDEX(Comparacao!$A$7:$A$200,SMALL(IF(Comparacao!$E$7:$E$200=$A$2,ROW(Comparacao!$A$7:$A$200)),ROW(421:421))-4,1),"")</f>
        <v/>
      </c>
      <c r="B425" s="3" t="str">
        <f>IFERROR(VLOOKUP(A425,Lista1[],2,FALSE),"")</f>
        <v/>
      </c>
      <c r="C425" s="1" t="str">
        <f>VLOOKUP(Filtro!A425,Comparacao!$A$7:$D$200,3,FALSE)</f>
        <v/>
      </c>
      <c r="D425" s="1" t="str">
        <f>VLOOKUP(Filtro!A425,Comparacao!$A$7:$D$200,4,FALSE)</f>
        <v/>
      </c>
      <c r="F425" t="str">
        <f t="array" ref="F425">IFERROR(INDEX(Comparacao!$G$7:$G$200,SMALL(IF(Comparacao!$K$7:$K$200=$A$2,ROW(Comparacao!$G$7:$G$200)),ROW(421:421))-4,1),"")</f>
        <v/>
      </c>
      <c r="G425" t="str">
        <f>IFERROR(VLOOKUP(F425,Lista2[],2,FALSE),"")</f>
        <v/>
      </c>
      <c r="H425" s="1" t="str">
        <f>VLOOKUP(Filtro!F425,Comparacao!$G$7:$J$200,3,FALSE)</f>
        <v/>
      </c>
      <c r="I425" s="1" t="str">
        <f>VLOOKUP(Filtro!F425,Comparacao!$G$7:$J$200,4,FALSE)</f>
        <v/>
      </c>
    </row>
    <row r="426" spans="1:9" x14ac:dyDescent="0.25">
      <c r="A426" s="3" t="str">
        <f t="array" ref="A426">IFERROR(INDEX(Comparacao!$A$7:$A$200,SMALL(IF(Comparacao!$E$7:$E$200=$A$2,ROW(Comparacao!$A$7:$A$200)),ROW(422:422))-4,1),"")</f>
        <v/>
      </c>
      <c r="B426" s="3" t="str">
        <f>IFERROR(VLOOKUP(A426,Lista1[],2,FALSE),"")</f>
        <v/>
      </c>
      <c r="C426" s="1" t="str">
        <f>VLOOKUP(Filtro!A426,Comparacao!$A$7:$D$200,3,FALSE)</f>
        <v/>
      </c>
      <c r="D426" s="1" t="str">
        <f>VLOOKUP(Filtro!A426,Comparacao!$A$7:$D$200,4,FALSE)</f>
        <v/>
      </c>
      <c r="F426" t="str">
        <f t="array" ref="F426">IFERROR(INDEX(Comparacao!$G$7:$G$200,SMALL(IF(Comparacao!$K$7:$K$200=$A$2,ROW(Comparacao!$G$7:$G$200)),ROW(422:422))-4,1),"")</f>
        <v/>
      </c>
      <c r="G426" t="str">
        <f>IFERROR(VLOOKUP(F426,Lista2[],2,FALSE),"")</f>
        <v/>
      </c>
      <c r="H426" s="1" t="str">
        <f>VLOOKUP(Filtro!F426,Comparacao!$G$7:$J$200,3,FALSE)</f>
        <v/>
      </c>
      <c r="I426" s="1" t="str">
        <f>VLOOKUP(Filtro!F426,Comparacao!$G$7:$J$200,4,FALSE)</f>
        <v/>
      </c>
    </row>
    <row r="427" spans="1:9" x14ac:dyDescent="0.25">
      <c r="A427" s="3" t="str">
        <f t="array" ref="A427">IFERROR(INDEX(Comparacao!$A$7:$A$200,SMALL(IF(Comparacao!$E$7:$E$200=$A$2,ROW(Comparacao!$A$7:$A$200)),ROW(423:423))-4,1),"")</f>
        <v/>
      </c>
      <c r="B427" s="3" t="str">
        <f>IFERROR(VLOOKUP(A427,Lista1[],2,FALSE),"")</f>
        <v/>
      </c>
      <c r="C427" s="1" t="str">
        <f>VLOOKUP(Filtro!A427,Comparacao!$A$7:$D$200,3,FALSE)</f>
        <v/>
      </c>
      <c r="D427" s="1" t="str">
        <f>VLOOKUP(Filtro!A427,Comparacao!$A$7:$D$200,4,FALSE)</f>
        <v/>
      </c>
      <c r="F427" t="str">
        <f t="array" ref="F427">IFERROR(INDEX(Comparacao!$G$7:$G$200,SMALL(IF(Comparacao!$K$7:$K$200=$A$2,ROW(Comparacao!$G$7:$G$200)),ROW(423:423))-4,1),"")</f>
        <v/>
      </c>
      <c r="G427" t="str">
        <f>IFERROR(VLOOKUP(F427,Lista2[],2,FALSE),"")</f>
        <v/>
      </c>
      <c r="H427" s="1" t="str">
        <f>VLOOKUP(Filtro!F427,Comparacao!$G$7:$J$200,3,FALSE)</f>
        <v/>
      </c>
      <c r="I427" s="1" t="str">
        <f>VLOOKUP(Filtro!F427,Comparacao!$G$7:$J$200,4,FALSE)</f>
        <v/>
      </c>
    </row>
    <row r="428" spans="1:9" x14ac:dyDescent="0.25">
      <c r="A428" s="3" t="str">
        <f t="array" ref="A428">IFERROR(INDEX(Comparacao!$A$7:$A$200,SMALL(IF(Comparacao!$E$7:$E$200=$A$2,ROW(Comparacao!$A$7:$A$200)),ROW(424:424))-4,1),"")</f>
        <v/>
      </c>
      <c r="B428" s="3" t="str">
        <f>IFERROR(VLOOKUP(A428,Lista1[],2,FALSE),"")</f>
        <v/>
      </c>
      <c r="C428" s="1" t="str">
        <f>VLOOKUP(Filtro!A428,Comparacao!$A$7:$D$200,3,FALSE)</f>
        <v/>
      </c>
      <c r="D428" s="1" t="str">
        <f>VLOOKUP(Filtro!A428,Comparacao!$A$7:$D$200,4,FALSE)</f>
        <v/>
      </c>
      <c r="F428" t="str">
        <f t="array" ref="F428">IFERROR(INDEX(Comparacao!$G$7:$G$200,SMALL(IF(Comparacao!$K$7:$K$200=$A$2,ROW(Comparacao!$G$7:$G$200)),ROW(424:424))-4,1),"")</f>
        <v/>
      </c>
      <c r="G428" t="str">
        <f>IFERROR(VLOOKUP(F428,Lista2[],2,FALSE),"")</f>
        <v/>
      </c>
      <c r="H428" s="1" t="str">
        <f>VLOOKUP(Filtro!F428,Comparacao!$G$7:$J$200,3,FALSE)</f>
        <v/>
      </c>
      <c r="I428" s="1" t="str">
        <f>VLOOKUP(Filtro!F428,Comparacao!$G$7:$J$200,4,FALSE)</f>
        <v/>
      </c>
    </row>
    <row r="429" spans="1:9" x14ac:dyDescent="0.25">
      <c r="A429" s="3" t="str">
        <f t="array" ref="A429">IFERROR(INDEX(Comparacao!$A$7:$A$200,SMALL(IF(Comparacao!$E$7:$E$200=$A$2,ROW(Comparacao!$A$7:$A$200)),ROW(425:425))-4,1),"")</f>
        <v/>
      </c>
      <c r="B429" s="3" t="str">
        <f>IFERROR(VLOOKUP(A429,Lista1[],2,FALSE),"")</f>
        <v/>
      </c>
      <c r="C429" s="1" t="str">
        <f>VLOOKUP(Filtro!A429,Comparacao!$A$7:$D$200,3,FALSE)</f>
        <v/>
      </c>
      <c r="D429" s="1" t="str">
        <f>VLOOKUP(Filtro!A429,Comparacao!$A$7:$D$200,4,FALSE)</f>
        <v/>
      </c>
      <c r="F429" t="str">
        <f t="array" ref="F429">IFERROR(INDEX(Comparacao!$G$7:$G$200,SMALL(IF(Comparacao!$K$7:$K$200=$A$2,ROW(Comparacao!$G$7:$G$200)),ROW(425:425))-4,1),"")</f>
        <v/>
      </c>
      <c r="G429" t="str">
        <f>IFERROR(VLOOKUP(F429,Lista2[],2,FALSE),"")</f>
        <v/>
      </c>
      <c r="H429" s="1" t="str">
        <f>VLOOKUP(Filtro!F429,Comparacao!$G$7:$J$200,3,FALSE)</f>
        <v/>
      </c>
      <c r="I429" s="1" t="str">
        <f>VLOOKUP(Filtro!F429,Comparacao!$G$7:$J$200,4,FALSE)</f>
        <v/>
      </c>
    </row>
    <row r="430" spans="1:9" x14ac:dyDescent="0.25">
      <c r="A430" s="3" t="str">
        <f t="array" ref="A430">IFERROR(INDEX(Comparacao!$A$7:$A$200,SMALL(IF(Comparacao!$E$7:$E$200=$A$2,ROW(Comparacao!$A$7:$A$200)),ROW(426:426))-4,1),"")</f>
        <v/>
      </c>
      <c r="B430" s="3" t="str">
        <f>IFERROR(VLOOKUP(A430,Lista1[],2,FALSE),"")</f>
        <v/>
      </c>
      <c r="C430" s="1" t="str">
        <f>VLOOKUP(Filtro!A430,Comparacao!$A$7:$D$200,3,FALSE)</f>
        <v/>
      </c>
      <c r="D430" s="1" t="str">
        <f>VLOOKUP(Filtro!A430,Comparacao!$A$7:$D$200,4,FALSE)</f>
        <v/>
      </c>
      <c r="F430" t="str">
        <f t="array" ref="F430">IFERROR(INDEX(Comparacao!$G$7:$G$200,SMALL(IF(Comparacao!$K$7:$K$200=$A$2,ROW(Comparacao!$G$7:$G$200)),ROW(426:426))-4,1),"")</f>
        <v/>
      </c>
      <c r="G430" t="str">
        <f>IFERROR(VLOOKUP(F430,Lista2[],2,FALSE),"")</f>
        <v/>
      </c>
      <c r="H430" s="1" t="str">
        <f>VLOOKUP(Filtro!F430,Comparacao!$G$7:$J$200,3,FALSE)</f>
        <v/>
      </c>
      <c r="I430" s="1" t="str">
        <f>VLOOKUP(Filtro!F430,Comparacao!$G$7:$J$200,4,FALSE)</f>
        <v/>
      </c>
    </row>
    <row r="431" spans="1:9" x14ac:dyDescent="0.25">
      <c r="A431" s="3" t="str">
        <f t="array" ref="A431">IFERROR(INDEX(Comparacao!$A$7:$A$200,SMALL(IF(Comparacao!$E$7:$E$200=$A$2,ROW(Comparacao!$A$7:$A$200)),ROW(427:427))-4,1),"")</f>
        <v/>
      </c>
      <c r="B431" s="3" t="str">
        <f>IFERROR(VLOOKUP(A431,Lista1[],2,FALSE),"")</f>
        <v/>
      </c>
      <c r="C431" s="1" t="str">
        <f>VLOOKUP(Filtro!A431,Comparacao!$A$7:$D$200,3,FALSE)</f>
        <v/>
      </c>
      <c r="D431" s="1" t="str">
        <f>VLOOKUP(Filtro!A431,Comparacao!$A$7:$D$200,4,FALSE)</f>
        <v/>
      </c>
      <c r="F431" t="str">
        <f t="array" ref="F431">IFERROR(INDEX(Comparacao!$G$7:$G$200,SMALL(IF(Comparacao!$K$7:$K$200=$A$2,ROW(Comparacao!$G$7:$G$200)),ROW(427:427))-4,1),"")</f>
        <v/>
      </c>
      <c r="G431" t="str">
        <f>IFERROR(VLOOKUP(F431,Lista2[],2,FALSE),"")</f>
        <v/>
      </c>
      <c r="H431" s="1" t="str">
        <f>VLOOKUP(Filtro!F431,Comparacao!$G$7:$J$200,3,FALSE)</f>
        <v/>
      </c>
      <c r="I431" s="1" t="str">
        <f>VLOOKUP(Filtro!F431,Comparacao!$G$7:$J$200,4,FALSE)</f>
        <v/>
      </c>
    </row>
    <row r="432" spans="1:9" x14ac:dyDescent="0.25">
      <c r="A432" s="3" t="str">
        <f t="array" ref="A432">IFERROR(INDEX(Comparacao!$A$7:$A$200,SMALL(IF(Comparacao!$E$7:$E$200=$A$2,ROW(Comparacao!$A$7:$A$200)),ROW(428:428))-4,1),"")</f>
        <v/>
      </c>
      <c r="B432" s="3" t="str">
        <f>IFERROR(VLOOKUP(A432,Lista1[],2,FALSE),"")</f>
        <v/>
      </c>
      <c r="C432" s="1" t="str">
        <f>VLOOKUP(Filtro!A432,Comparacao!$A$7:$D$200,3,FALSE)</f>
        <v/>
      </c>
      <c r="D432" s="1" t="str">
        <f>VLOOKUP(Filtro!A432,Comparacao!$A$7:$D$200,4,FALSE)</f>
        <v/>
      </c>
      <c r="F432" t="str">
        <f t="array" ref="F432">IFERROR(INDEX(Comparacao!$G$7:$G$200,SMALL(IF(Comparacao!$K$7:$K$200=$A$2,ROW(Comparacao!$G$7:$G$200)),ROW(428:428))-4,1),"")</f>
        <v/>
      </c>
      <c r="G432" t="str">
        <f>IFERROR(VLOOKUP(F432,Lista2[],2,FALSE),"")</f>
        <v/>
      </c>
      <c r="H432" s="1" t="str">
        <f>VLOOKUP(Filtro!F432,Comparacao!$G$7:$J$200,3,FALSE)</f>
        <v/>
      </c>
      <c r="I432" s="1" t="str">
        <f>VLOOKUP(Filtro!F432,Comparacao!$G$7:$J$200,4,FALSE)</f>
        <v/>
      </c>
    </row>
    <row r="433" spans="1:9" x14ac:dyDescent="0.25">
      <c r="A433" s="3" t="str">
        <f t="array" ref="A433">IFERROR(INDEX(Comparacao!$A$7:$A$200,SMALL(IF(Comparacao!$E$7:$E$200=$A$2,ROW(Comparacao!$A$7:$A$200)),ROW(429:429))-4,1),"")</f>
        <v/>
      </c>
      <c r="B433" s="3" t="str">
        <f>IFERROR(VLOOKUP(A433,Lista1[],2,FALSE),"")</f>
        <v/>
      </c>
      <c r="C433" s="1" t="str">
        <f>VLOOKUP(Filtro!A433,Comparacao!$A$7:$D$200,3,FALSE)</f>
        <v/>
      </c>
      <c r="D433" s="1" t="str">
        <f>VLOOKUP(Filtro!A433,Comparacao!$A$7:$D$200,4,FALSE)</f>
        <v/>
      </c>
      <c r="F433" t="str">
        <f t="array" ref="F433">IFERROR(INDEX(Comparacao!$G$7:$G$200,SMALL(IF(Comparacao!$K$7:$K$200=$A$2,ROW(Comparacao!$G$7:$G$200)),ROW(429:429))-4,1),"")</f>
        <v/>
      </c>
      <c r="G433" t="str">
        <f>IFERROR(VLOOKUP(F433,Lista2[],2,FALSE),"")</f>
        <v/>
      </c>
      <c r="H433" s="1" t="str">
        <f>VLOOKUP(Filtro!F433,Comparacao!$G$7:$J$200,3,FALSE)</f>
        <v/>
      </c>
      <c r="I433" s="1" t="str">
        <f>VLOOKUP(Filtro!F433,Comparacao!$G$7:$J$200,4,FALSE)</f>
        <v/>
      </c>
    </row>
    <row r="434" spans="1:9" x14ac:dyDescent="0.25">
      <c r="A434" s="3" t="str">
        <f t="array" ref="A434">IFERROR(INDEX(Comparacao!$A$7:$A$200,SMALL(IF(Comparacao!$E$7:$E$200=$A$2,ROW(Comparacao!$A$7:$A$200)),ROW(430:430))-4,1),"")</f>
        <v/>
      </c>
      <c r="B434" s="3" t="str">
        <f>IFERROR(VLOOKUP(A434,Lista1[],2,FALSE),"")</f>
        <v/>
      </c>
      <c r="C434" s="1" t="str">
        <f>VLOOKUP(Filtro!A434,Comparacao!$A$7:$D$200,3,FALSE)</f>
        <v/>
      </c>
      <c r="D434" s="1" t="str">
        <f>VLOOKUP(Filtro!A434,Comparacao!$A$7:$D$200,4,FALSE)</f>
        <v/>
      </c>
      <c r="F434" t="str">
        <f t="array" ref="F434">IFERROR(INDEX(Comparacao!$G$7:$G$200,SMALL(IF(Comparacao!$K$7:$K$200=$A$2,ROW(Comparacao!$G$7:$G$200)),ROW(430:430))-4,1),"")</f>
        <v/>
      </c>
      <c r="G434" t="str">
        <f>IFERROR(VLOOKUP(F434,Lista2[],2,FALSE),"")</f>
        <v/>
      </c>
      <c r="H434" s="1" t="str">
        <f>VLOOKUP(Filtro!F434,Comparacao!$G$7:$J$200,3,FALSE)</f>
        <v/>
      </c>
      <c r="I434" s="1" t="str">
        <f>VLOOKUP(Filtro!F434,Comparacao!$G$7:$J$200,4,FALSE)</f>
        <v/>
      </c>
    </row>
    <row r="435" spans="1:9" x14ac:dyDescent="0.25">
      <c r="A435" s="3" t="str">
        <f t="array" ref="A435">IFERROR(INDEX(Comparacao!$A$7:$A$200,SMALL(IF(Comparacao!$E$7:$E$200=$A$2,ROW(Comparacao!$A$7:$A$200)),ROW(431:431))-4,1),"")</f>
        <v/>
      </c>
      <c r="B435" s="3" t="str">
        <f>IFERROR(VLOOKUP(A435,Lista1[],2,FALSE),"")</f>
        <v/>
      </c>
      <c r="C435" s="1" t="str">
        <f>VLOOKUP(Filtro!A435,Comparacao!$A$7:$D$200,3,FALSE)</f>
        <v/>
      </c>
      <c r="D435" s="1" t="str">
        <f>VLOOKUP(Filtro!A435,Comparacao!$A$7:$D$200,4,FALSE)</f>
        <v/>
      </c>
      <c r="F435" t="str">
        <f t="array" ref="F435">IFERROR(INDEX(Comparacao!$G$7:$G$200,SMALL(IF(Comparacao!$K$7:$K$200=$A$2,ROW(Comparacao!$G$7:$G$200)),ROW(431:431))-4,1),"")</f>
        <v/>
      </c>
      <c r="G435" t="str">
        <f>IFERROR(VLOOKUP(F435,Lista2[],2,FALSE),"")</f>
        <v/>
      </c>
      <c r="H435" s="1" t="str">
        <f>VLOOKUP(Filtro!F435,Comparacao!$G$7:$J$200,3,FALSE)</f>
        <v/>
      </c>
      <c r="I435" s="1" t="str">
        <f>VLOOKUP(Filtro!F435,Comparacao!$G$7:$J$200,4,FALSE)</f>
        <v/>
      </c>
    </row>
    <row r="436" spans="1:9" x14ac:dyDescent="0.25">
      <c r="A436" s="3" t="str">
        <f t="array" ref="A436">IFERROR(INDEX(Comparacao!$A$7:$A$200,SMALL(IF(Comparacao!$E$7:$E$200=$A$2,ROW(Comparacao!$A$7:$A$200)),ROW(432:432))-4,1),"")</f>
        <v/>
      </c>
      <c r="B436" s="3" t="str">
        <f>IFERROR(VLOOKUP(A436,Lista1[],2,FALSE),"")</f>
        <v/>
      </c>
      <c r="C436" s="1" t="str">
        <f>VLOOKUP(Filtro!A436,Comparacao!$A$7:$D$200,3,FALSE)</f>
        <v/>
      </c>
      <c r="D436" s="1" t="str">
        <f>VLOOKUP(Filtro!A436,Comparacao!$A$7:$D$200,4,FALSE)</f>
        <v/>
      </c>
      <c r="F436" t="str">
        <f t="array" ref="F436">IFERROR(INDEX(Comparacao!$G$7:$G$200,SMALL(IF(Comparacao!$K$7:$K$200=$A$2,ROW(Comparacao!$G$7:$G$200)),ROW(432:432))-4,1),"")</f>
        <v/>
      </c>
      <c r="G436" t="str">
        <f>IFERROR(VLOOKUP(F436,Lista2[],2,FALSE),"")</f>
        <v/>
      </c>
      <c r="H436" s="1" t="str">
        <f>VLOOKUP(Filtro!F436,Comparacao!$G$7:$J$200,3,FALSE)</f>
        <v/>
      </c>
      <c r="I436" s="1" t="str">
        <f>VLOOKUP(Filtro!F436,Comparacao!$G$7:$J$200,4,FALSE)</f>
        <v/>
      </c>
    </row>
    <row r="437" spans="1:9" x14ac:dyDescent="0.25">
      <c r="A437" s="3" t="str">
        <f t="array" ref="A437">IFERROR(INDEX(Comparacao!$A$7:$A$200,SMALL(IF(Comparacao!$E$7:$E$200=$A$2,ROW(Comparacao!$A$7:$A$200)),ROW(433:433))-4,1),"")</f>
        <v/>
      </c>
      <c r="B437" s="3" t="str">
        <f>IFERROR(VLOOKUP(A437,Lista1[],2,FALSE),"")</f>
        <v/>
      </c>
      <c r="C437" s="1" t="str">
        <f>VLOOKUP(Filtro!A437,Comparacao!$A$7:$D$200,3,FALSE)</f>
        <v/>
      </c>
      <c r="D437" s="1" t="str">
        <f>VLOOKUP(Filtro!A437,Comparacao!$A$7:$D$200,4,FALSE)</f>
        <v/>
      </c>
      <c r="F437" t="str">
        <f t="array" ref="F437">IFERROR(INDEX(Comparacao!$G$7:$G$200,SMALL(IF(Comparacao!$K$7:$K$200=$A$2,ROW(Comparacao!$G$7:$G$200)),ROW(433:433))-4,1),"")</f>
        <v/>
      </c>
      <c r="G437" t="str">
        <f>IFERROR(VLOOKUP(F437,Lista2[],2,FALSE),"")</f>
        <v/>
      </c>
      <c r="H437" s="1" t="str">
        <f>VLOOKUP(Filtro!F437,Comparacao!$G$7:$J$200,3,FALSE)</f>
        <v/>
      </c>
      <c r="I437" s="1" t="str">
        <f>VLOOKUP(Filtro!F437,Comparacao!$G$7:$J$200,4,FALSE)</f>
        <v/>
      </c>
    </row>
    <row r="438" spans="1:9" x14ac:dyDescent="0.25">
      <c r="A438" s="3" t="str">
        <f t="array" ref="A438">IFERROR(INDEX(Comparacao!$A$7:$A$200,SMALL(IF(Comparacao!$E$7:$E$200=$A$2,ROW(Comparacao!$A$7:$A$200)),ROW(434:434))-4,1),"")</f>
        <v/>
      </c>
      <c r="B438" s="3" t="str">
        <f>IFERROR(VLOOKUP(A438,Lista1[],2,FALSE),"")</f>
        <v/>
      </c>
      <c r="C438" s="1" t="str">
        <f>VLOOKUP(Filtro!A438,Comparacao!$A$7:$D$200,3,FALSE)</f>
        <v/>
      </c>
      <c r="D438" s="1" t="str">
        <f>VLOOKUP(Filtro!A438,Comparacao!$A$7:$D$200,4,FALSE)</f>
        <v/>
      </c>
      <c r="F438" t="str">
        <f t="array" ref="F438">IFERROR(INDEX(Comparacao!$G$7:$G$200,SMALL(IF(Comparacao!$K$7:$K$200=$A$2,ROW(Comparacao!$G$7:$G$200)),ROW(434:434))-4,1),"")</f>
        <v/>
      </c>
      <c r="G438" t="str">
        <f>IFERROR(VLOOKUP(F438,Lista2[],2,FALSE),"")</f>
        <v/>
      </c>
      <c r="H438" s="1" t="str">
        <f>VLOOKUP(Filtro!F438,Comparacao!$G$7:$J$200,3,FALSE)</f>
        <v/>
      </c>
      <c r="I438" s="1" t="str">
        <f>VLOOKUP(Filtro!F438,Comparacao!$G$7:$J$200,4,FALSE)</f>
        <v/>
      </c>
    </row>
    <row r="439" spans="1:9" x14ac:dyDescent="0.25">
      <c r="A439" s="3" t="str">
        <f t="array" ref="A439">IFERROR(INDEX(Comparacao!$A$7:$A$200,SMALL(IF(Comparacao!$E$7:$E$200=$A$2,ROW(Comparacao!$A$7:$A$200)),ROW(435:435))-4,1),"")</f>
        <v/>
      </c>
      <c r="B439" s="3" t="str">
        <f>IFERROR(VLOOKUP(A439,Lista1[],2,FALSE),"")</f>
        <v/>
      </c>
      <c r="C439" s="1" t="str">
        <f>VLOOKUP(Filtro!A439,Comparacao!$A$7:$D$200,3,FALSE)</f>
        <v/>
      </c>
      <c r="D439" s="1" t="str">
        <f>VLOOKUP(Filtro!A439,Comparacao!$A$7:$D$200,4,FALSE)</f>
        <v/>
      </c>
      <c r="F439" t="str">
        <f t="array" ref="F439">IFERROR(INDEX(Comparacao!$G$7:$G$200,SMALL(IF(Comparacao!$K$7:$K$200=$A$2,ROW(Comparacao!$G$7:$G$200)),ROW(435:435))-4,1),"")</f>
        <v/>
      </c>
      <c r="G439" t="str">
        <f>IFERROR(VLOOKUP(F439,Lista2[],2,FALSE),"")</f>
        <v/>
      </c>
      <c r="H439" s="1" t="str">
        <f>VLOOKUP(Filtro!F439,Comparacao!$G$7:$J$200,3,FALSE)</f>
        <v/>
      </c>
      <c r="I439" s="1" t="str">
        <f>VLOOKUP(Filtro!F439,Comparacao!$G$7:$J$200,4,FALSE)</f>
        <v/>
      </c>
    </row>
    <row r="440" spans="1:9" x14ac:dyDescent="0.25">
      <c r="A440" s="3" t="str">
        <f t="array" ref="A440">IFERROR(INDEX(Comparacao!$A$7:$A$200,SMALL(IF(Comparacao!$E$7:$E$200=$A$2,ROW(Comparacao!$A$7:$A$200)),ROW(436:436))-4,1),"")</f>
        <v/>
      </c>
      <c r="B440" s="3" t="str">
        <f>IFERROR(VLOOKUP(A440,Lista1[],2,FALSE),"")</f>
        <v/>
      </c>
      <c r="C440" s="1" t="str">
        <f>VLOOKUP(Filtro!A440,Comparacao!$A$7:$D$200,3,FALSE)</f>
        <v/>
      </c>
      <c r="D440" s="1" t="str">
        <f>VLOOKUP(Filtro!A440,Comparacao!$A$7:$D$200,4,FALSE)</f>
        <v/>
      </c>
      <c r="F440" t="str">
        <f t="array" ref="F440">IFERROR(INDEX(Comparacao!$G$7:$G$200,SMALL(IF(Comparacao!$K$7:$K$200=$A$2,ROW(Comparacao!$G$7:$G$200)),ROW(436:436))-4,1),"")</f>
        <v/>
      </c>
      <c r="G440" t="str">
        <f>IFERROR(VLOOKUP(F440,Lista2[],2,FALSE),"")</f>
        <v/>
      </c>
      <c r="H440" s="1" t="str">
        <f>VLOOKUP(Filtro!F440,Comparacao!$G$7:$J$200,3,FALSE)</f>
        <v/>
      </c>
      <c r="I440" s="1" t="str">
        <f>VLOOKUP(Filtro!F440,Comparacao!$G$7:$J$200,4,FALSE)</f>
        <v/>
      </c>
    </row>
    <row r="441" spans="1:9" x14ac:dyDescent="0.25">
      <c r="A441" s="3" t="str">
        <f t="array" ref="A441">IFERROR(INDEX(Comparacao!$A$7:$A$200,SMALL(IF(Comparacao!$E$7:$E$200=$A$2,ROW(Comparacao!$A$7:$A$200)),ROW(437:437))-4,1),"")</f>
        <v/>
      </c>
      <c r="B441" s="3" t="str">
        <f>IFERROR(VLOOKUP(A441,Lista1[],2,FALSE),"")</f>
        <v/>
      </c>
      <c r="C441" s="1" t="str">
        <f>VLOOKUP(Filtro!A441,Comparacao!$A$7:$D$200,3,FALSE)</f>
        <v/>
      </c>
      <c r="D441" s="1" t="str">
        <f>VLOOKUP(Filtro!A441,Comparacao!$A$7:$D$200,4,FALSE)</f>
        <v/>
      </c>
      <c r="F441" t="str">
        <f t="array" ref="F441">IFERROR(INDEX(Comparacao!$G$7:$G$200,SMALL(IF(Comparacao!$K$7:$K$200=$A$2,ROW(Comparacao!$G$7:$G$200)),ROW(437:437))-4,1),"")</f>
        <v/>
      </c>
      <c r="G441" t="str">
        <f>IFERROR(VLOOKUP(F441,Lista2[],2,FALSE),"")</f>
        <v/>
      </c>
      <c r="H441" s="1" t="str">
        <f>VLOOKUP(Filtro!F441,Comparacao!$G$7:$J$200,3,FALSE)</f>
        <v/>
      </c>
      <c r="I441" s="1" t="str">
        <f>VLOOKUP(Filtro!F441,Comparacao!$G$7:$J$200,4,FALSE)</f>
        <v/>
      </c>
    </row>
    <row r="442" spans="1:9" x14ac:dyDescent="0.25">
      <c r="A442" s="3" t="str">
        <f t="array" ref="A442">IFERROR(INDEX(Comparacao!$A$7:$A$200,SMALL(IF(Comparacao!$E$7:$E$200=$A$2,ROW(Comparacao!$A$7:$A$200)),ROW(438:438))-4,1),"")</f>
        <v/>
      </c>
      <c r="B442" s="3" t="str">
        <f>IFERROR(VLOOKUP(A442,Lista1[],2,FALSE),"")</f>
        <v/>
      </c>
      <c r="C442" s="1" t="str">
        <f>VLOOKUP(Filtro!A442,Comparacao!$A$7:$D$200,3,FALSE)</f>
        <v/>
      </c>
      <c r="D442" s="1" t="str">
        <f>VLOOKUP(Filtro!A442,Comparacao!$A$7:$D$200,4,FALSE)</f>
        <v/>
      </c>
      <c r="F442" t="str">
        <f t="array" ref="F442">IFERROR(INDEX(Comparacao!$G$7:$G$200,SMALL(IF(Comparacao!$K$7:$K$200=$A$2,ROW(Comparacao!$G$7:$G$200)),ROW(438:438))-4,1),"")</f>
        <v/>
      </c>
      <c r="G442" t="str">
        <f>IFERROR(VLOOKUP(F442,Lista2[],2,FALSE),"")</f>
        <v/>
      </c>
      <c r="H442" s="1" t="str">
        <f>VLOOKUP(Filtro!F442,Comparacao!$G$7:$J$200,3,FALSE)</f>
        <v/>
      </c>
      <c r="I442" s="1" t="str">
        <f>VLOOKUP(Filtro!F442,Comparacao!$G$7:$J$200,4,FALSE)</f>
        <v/>
      </c>
    </row>
    <row r="443" spans="1:9" x14ac:dyDescent="0.25">
      <c r="A443" s="3" t="str">
        <f t="array" ref="A443">IFERROR(INDEX(Comparacao!$A$7:$A$200,SMALL(IF(Comparacao!$E$7:$E$200=$A$2,ROW(Comparacao!$A$7:$A$200)),ROW(439:439))-4,1),"")</f>
        <v/>
      </c>
      <c r="B443" s="3" t="str">
        <f>IFERROR(VLOOKUP(A443,Lista1[],2,FALSE),"")</f>
        <v/>
      </c>
      <c r="C443" s="1" t="str">
        <f>VLOOKUP(Filtro!A443,Comparacao!$A$7:$D$200,3,FALSE)</f>
        <v/>
      </c>
      <c r="D443" s="1" t="str">
        <f>VLOOKUP(Filtro!A443,Comparacao!$A$7:$D$200,4,FALSE)</f>
        <v/>
      </c>
      <c r="F443" t="str">
        <f t="array" ref="F443">IFERROR(INDEX(Comparacao!$G$7:$G$200,SMALL(IF(Comparacao!$K$7:$K$200=$A$2,ROW(Comparacao!$G$7:$G$200)),ROW(439:439))-4,1),"")</f>
        <v/>
      </c>
      <c r="G443" t="str">
        <f>IFERROR(VLOOKUP(F443,Lista2[],2,FALSE),"")</f>
        <v/>
      </c>
      <c r="H443" s="1" t="str">
        <f>VLOOKUP(Filtro!F443,Comparacao!$G$7:$J$200,3,FALSE)</f>
        <v/>
      </c>
      <c r="I443" s="1" t="str">
        <f>VLOOKUP(Filtro!F443,Comparacao!$G$7:$J$200,4,FALSE)</f>
        <v/>
      </c>
    </row>
    <row r="444" spans="1:9" x14ac:dyDescent="0.25">
      <c r="A444" s="3" t="str">
        <f t="array" ref="A444">IFERROR(INDEX(Comparacao!$A$7:$A$200,SMALL(IF(Comparacao!$E$7:$E$200=$A$2,ROW(Comparacao!$A$7:$A$200)),ROW(440:440))-4,1),"")</f>
        <v/>
      </c>
      <c r="B444" s="3" t="str">
        <f>IFERROR(VLOOKUP(A444,Lista1[],2,FALSE),"")</f>
        <v/>
      </c>
      <c r="C444" s="1" t="str">
        <f>VLOOKUP(Filtro!A444,Comparacao!$A$7:$D$200,3,FALSE)</f>
        <v/>
      </c>
      <c r="D444" s="1" t="str">
        <f>VLOOKUP(Filtro!A444,Comparacao!$A$7:$D$200,4,FALSE)</f>
        <v/>
      </c>
      <c r="F444" t="str">
        <f t="array" ref="F444">IFERROR(INDEX(Comparacao!$G$7:$G$200,SMALL(IF(Comparacao!$K$7:$K$200=$A$2,ROW(Comparacao!$G$7:$G$200)),ROW(440:440))-4,1),"")</f>
        <v/>
      </c>
      <c r="G444" t="str">
        <f>IFERROR(VLOOKUP(F444,Lista2[],2,FALSE),"")</f>
        <v/>
      </c>
      <c r="H444" s="1" t="str">
        <f>VLOOKUP(Filtro!F444,Comparacao!$G$7:$J$200,3,FALSE)</f>
        <v/>
      </c>
      <c r="I444" s="1" t="str">
        <f>VLOOKUP(Filtro!F444,Comparacao!$G$7:$J$200,4,FALSE)</f>
        <v/>
      </c>
    </row>
    <row r="445" spans="1:9" x14ac:dyDescent="0.25">
      <c r="A445" s="3" t="str">
        <f t="array" ref="A445">IFERROR(INDEX(Comparacao!$A$7:$A$200,SMALL(IF(Comparacao!$E$7:$E$200=$A$2,ROW(Comparacao!$A$7:$A$200)),ROW(441:441))-4,1),"")</f>
        <v/>
      </c>
      <c r="B445" s="3" t="str">
        <f>IFERROR(VLOOKUP(A445,Lista1[],2,FALSE),"")</f>
        <v/>
      </c>
      <c r="C445" s="1" t="str">
        <f>VLOOKUP(Filtro!A445,Comparacao!$A$7:$D$200,3,FALSE)</f>
        <v/>
      </c>
      <c r="D445" s="1" t="str">
        <f>VLOOKUP(Filtro!A445,Comparacao!$A$7:$D$200,4,FALSE)</f>
        <v/>
      </c>
      <c r="F445" t="str">
        <f t="array" ref="F445">IFERROR(INDEX(Comparacao!$G$7:$G$200,SMALL(IF(Comparacao!$K$7:$K$200=$A$2,ROW(Comparacao!$G$7:$G$200)),ROW(441:441))-4,1),"")</f>
        <v/>
      </c>
      <c r="G445" t="str">
        <f>IFERROR(VLOOKUP(F445,Lista2[],2,FALSE),"")</f>
        <v/>
      </c>
      <c r="H445" s="1" t="str">
        <f>VLOOKUP(Filtro!F445,Comparacao!$G$7:$J$200,3,FALSE)</f>
        <v/>
      </c>
      <c r="I445" s="1" t="str">
        <f>VLOOKUP(Filtro!F445,Comparacao!$G$7:$J$200,4,FALSE)</f>
        <v/>
      </c>
    </row>
    <row r="446" spans="1:9" x14ac:dyDescent="0.25">
      <c r="A446" s="3" t="str">
        <f t="array" ref="A446">IFERROR(INDEX(Comparacao!$A$7:$A$200,SMALL(IF(Comparacao!$E$7:$E$200=$A$2,ROW(Comparacao!$A$7:$A$200)),ROW(442:442))-4,1),"")</f>
        <v/>
      </c>
      <c r="B446" s="3" t="str">
        <f>IFERROR(VLOOKUP(A446,Lista1[],2,FALSE),"")</f>
        <v/>
      </c>
      <c r="C446" s="1" t="str">
        <f>VLOOKUP(Filtro!A446,Comparacao!$A$7:$D$200,3,FALSE)</f>
        <v/>
      </c>
      <c r="D446" s="1" t="str">
        <f>VLOOKUP(Filtro!A446,Comparacao!$A$7:$D$200,4,FALSE)</f>
        <v/>
      </c>
      <c r="F446" t="str">
        <f t="array" ref="F446">IFERROR(INDEX(Comparacao!$G$7:$G$200,SMALL(IF(Comparacao!$K$7:$K$200=$A$2,ROW(Comparacao!$G$7:$G$200)),ROW(442:442))-4,1),"")</f>
        <v/>
      </c>
      <c r="G446" t="str">
        <f>IFERROR(VLOOKUP(F446,Lista2[],2,FALSE),"")</f>
        <v/>
      </c>
      <c r="H446" s="1" t="str">
        <f>VLOOKUP(Filtro!F446,Comparacao!$G$7:$J$200,3,FALSE)</f>
        <v/>
      </c>
      <c r="I446" s="1" t="str">
        <f>VLOOKUP(Filtro!F446,Comparacao!$G$7:$J$200,4,FALSE)</f>
        <v/>
      </c>
    </row>
    <row r="447" spans="1:9" x14ac:dyDescent="0.25">
      <c r="A447" s="3" t="str">
        <f t="array" ref="A447">IFERROR(INDEX(Comparacao!$A$7:$A$200,SMALL(IF(Comparacao!$E$7:$E$200=$A$2,ROW(Comparacao!$A$7:$A$200)),ROW(443:443))-4,1),"")</f>
        <v/>
      </c>
      <c r="B447" s="3" t="str">
        <f>IFERROR(VLOOKUP(A447,Lista1[],2,FALSE),"")</f>
        <v/>
      </c>
      <c r="C447" s="1" t="str">
        <f>VLOOKUP(Filtro!A447,Comparacao!$A$7:$D$200,3,FALSE)</f>
        <v/>
      </c>
      <c r="D447" s="1" t="str">
        <f>VLOOKUP(Filtro!A447,Comparacao!$A$7:$D$200,4,FALSE)</f>
        <v/>
      </c>
      <c r="F447" t="str">
        <f t="array" ref="F447">IFERROR(INDEX(Comparacao!$G$7:$G$200,SMALL(IF(Comparacao!$K$7:$K$200=$A$2,ROW(Comparacao!$G$7:$G$200)),ROW(443:443))-4,1),"")</f>
        <v/>
      </c>
      <c r="G447" t="str">
        <f>IFERROR(VLOOKUP(F447,Lista2[],2,FALSE),"")</f>
        <v/>
      </c>
      <c r="H447" s="1" t="str">
        <f>VLOOKUP(Filtro!F447,Comparacao!$G$7:$J$200,3,FALSE)</f>
        <v/>
      </c>
      <c r="I447" s="1" t="str">
        <f>VLOOKUP(Filtro!F447,Comparacao!$G$7:$J$200,4,FALSE)</f>
        <v/>
      </c>
    </row>
    <row r="448" spans="1:9" x14ac:dyDescent="0.25">
      <c r="A448" s="3" t="str">
        <f t="array" ref="A448">IFERROR(INDEX(Comparacao!$A$7:$A$200,SMALL(IF(Comparacao!$E$7:$E$200=$A$2,ROW(Comparacao!$A$7:$A$200)),ROW(444:444))-4,1),"")</f>
        <v/>
      </c>
      <c r="B448" s="3" t="str">
        <f>IFERROR(VLOOKUP(A448,Lista1[],2,FALSE),"")</f>
        <v/>
      </c>
      <c r="C448" s="1" t="str">
        <f>VLOOKUP(Filtro!A448,Comparacao!$A$7:$D$200,3,FALSE)</f>
        <v/>
      </c>
      <c r="D448" s="1" t="str">
        <f>VLOOKUP(Filtro!A448,Comparacao!$A$7:$D$200,4,FALSE)</f>
        <v/>
      </c>
      <c r="F448" t="str">
        <f t="array" ref="F448">IFERROR(INDEX(Comparacao!$G$7:$G$200,SMALL(IF(Comparacao!$K$7:$K$200=$A$2,ROW(Comparacao!$G$7:$G$200)),ROW(444:444))-4,1),"")</f>
        <v/>
      </c>
      <c r="G448" t="str">
        <f>IFERROR(VLOOKUP(F448,Lista2[],2,FALSE),"")</f>
        <v/>
      </c>
      <c r="H448" s="1" t="str">
        <f>VLOOKUP(Filtro!F448,Comparacao!$G$7:$J$200,3,FALSE)</f>
        <v/>
      </c>
      <c r="I448" s="1" t="str">
        <f>VLOOKUP(Filtro!F448,Comparacao!$G$7:$J$200,4,FALSE)</f>
        <v/>
      </c>
    </row>
    <row r="449" spans="1:9" x14ac:dyDescent="0.25">
      <c r="A449" s="3" t="str">
        <f t="array" ref="A449">IFERROR(INDEX(Comparacao!$A$7:$A$200,SMALL(IF(Comparacao!$E$7:$E$200=$A$2,ROW(Comparacao!$A$7:$A$200)),ROW(445:445))-4,1),"")</f>
        <v/>
      </c>
      <c r="B449" s="3" t="str">
        <f>IFERROR(VLOOKUP(A449,Lista1[],2,FALSE),"")</f>
        <v/>
      </c>
      <c r="C449" s="1" t="str">
        <f>VLOOKUP(Filtro!A449,Comparacao!$A$7:$D$200,3,FALSE)</f>
        <v/>
      </c>
      <c r="D449" s="1" t="str">
        <f>VLOOKUP(Filtro!A449,Comparacao!$A$7:$D$200,4,FALSE)</f>
        <v/>
      </c>
      <c r="F449" t="str">
        <f t="array" ref="F449">IFERROR(INDEX(Comparacao!$G$7:$G$200,SMALL(IF(Comparacao!$K$7:$K$200=$A$2,ROW(Comparacao!$G$7:$G$200)),ROW(445:445))-4,1),"")</f>
        <v/>
      </c>
      <c r="G449" t="str">
        <f>IFERROR(VLOOKUP(F449,Lista2[],2,FALSE),"")</f>
        <v/>
      </c>
      <c r="H449" s="1" t="str">
        <f>VLOOKUP(Filtro!F449,Comparacao!$G$7:$J$200,3,FALSE)</f>
        <v/>
      </c>
      <c r="I449" s="1" t="str">
        <f>VLOOKUP(Filtro!F449,Comparacao!$G$7:$J$200,4,FALSE)</f>
        <v/>
      </c>
    </row>
    <row r="450" spans="1:9" x14ac:dyDescent="0.25">
      <c r="A450" s="3" t="str">
        <f t="array" ref="A450">IFERROR(INDEX(Comparacao!$A$7:$A$200,SMALL(IF(Comparacao!$E$7:$E$200=$A$2,ROW(Comparacao!$A$7:$A$200)),ROW(446:446))-4,1),"")</f>
        <v/>
      </c>
      <c r="B450" s="3" t="str">
        <f>IFERROR(VLOOKUP(A450,Lista1[],2,FALSE),"")</f>
        <v/>
      </c>
      <c r="C450" s="1" t="str">
        <f>VLOOKUP(Filtro!A450,Comparacao!$A$7:$D$200,3,FALSE)</f>
        <v/>
      </c>
      <c r="D450" s="1" t="str">
        <f>VLOOKUP(Filtro!A450,Comparacao!$A$7:$D$200,4,FALSE)</f>
        <v/>
      </c>
      <c r="F450" t="str">
        <f t="array" ref="F450">IFERROR(INDEX(Comparacao!$G$7:$G$200,SMALL(IF(Comparacao!$K$7:$K$200=$A$2,ROW(Comparacao!$G$7:$G$200)),ROW(446:446))-4,1),"")</f>
        <v/>
      </c>
      <c r="G450" t="str">
        <f>IFERROR(VLOOKUP(F450,Lista2[],2,FALSE),"")</f>
        <v/>
      </c>
      <c r="H450" s="1" t="str">
        <f>VLOOKUP(Filtro!F450,Comparacao!$G$7:$J$200,3,FALSE)</f>
        <v/>
      </c>
      <c r="I450" s="1" t="str">
        <f>VLOOKUP(Filtro!F450,Comparacao!$G$7:$J$200,4,FALSE)</f>
        <v/>
      </c>
    </row>
    <row r="451" spans="1:9" x14ac:dyDescent="0.25">
      <c r="A451" s="3" t="str">
        <f t="array" ref="A451">IFERROR(INDEX(Comparacao!$A$7:$A$200,SMALL(IF(Comparacao!$E$7:$E$200=$A$2,ROW(Comparacao!$A$7:$A$200)),ROW(447:447))-4,1),"")</f>
        <v/>
      </c>
      <c r="B451" s="3" t="str">
        <f>IFERROR(VLOOKUP(A451,Lista1[],2,FALSE),"")</f>
        <v/>
      </c>
      <c r="C451" s="1" t="str">
        <f>VLOOKUP(Filtro!A451,Comparacao!$A$7:$D$200,3,FALSE)</f>
        <v/>
      </c>
      <c r="D451" s="1" t="str">
        <f>VLOOKUP(Filtro!A451,Comparacao!$A$7:$D$200,4,FALSE)</f>
        <v/>
      </c>
      <c r="F451" t="str">
        <f t="array" ref="F451">IFERROR(INDEX(Comparacao!$G$7:$G$200,SMALL(IF(Comparacao!$K$7:$K$200=$A$2,ROW(Comparacao!$G$7:$G$200)),ROW(447:447))-4,1),"")</f>
        <v/>
      </c>
      <c r="G451" t="str">
        <f>IFERROR(VLOOKUP(F451,Lista2[],2,FALSE),"")</f>
        <v/>
      </c>
      <c r="H451" s="1" t="str">
        <f>VLOOKUP(Filtro!F451,Comparacao!$G$7:$J$200,3,FALSE)</f>
        <v/>
      </c>
      <c r="I451" s="1" t="str">
        <f>VLOOKUP(Filtro!F451,Comparacao!$G$7:$J$200,4,FALSE)</f>
        <v/>
      </c>
    </row>
    <row r="452" spans="1:9" x14ac:dyDescent="0.25">
      <c r="A452" s="3" t="str">
        <f t="array" ref="A452">IFERROR(INDEX(Comparacao!$A$7:$A$200,SMALL(IF(Comparacao!$E$7:$E$200=$A$2,ROW(Comparacao!$A$7:$A$200)),ROW(448:448))-4,1),"")</f>
        <v/>
      </c>
      <c r="B452" s="3" t="str">
        <f>IFERROR(VLOOKUP(A452,Lista1[],2,FALSE),"")</f>
        <v/>
      </c>
      <c r="C452" s="1" t="str">
        <f>VLOOKUP(Filtro!A452,Comparacao!$A$7:$D$200,3,FALSE)</f>
        <v/>
      </c>
      <c r="D452" s="1" t="str">
        <f>VLOOKUP(Filtro!A452,Comparacao!$A$7:$D$200,4,FALSE)</f>
        <v/>
      </c>
      <c r="F452" t="str">
        <f t="array" ref="F452">IFERROR(INDEX(Comparacao!$G$7:$G$200,SMALL(IF(Comparacao!$K$7:$K$200=$A$2,ROW(Comparacao!$G$7:$G$200)),ROW(448:448))-4,1),"")</f>
        <v/>
      </c>
      <c r="G452" t="str">
        <f>IFERROR(VLOOKUP(F452,Lista2[],2,FALSE),"")</f>
        <v/>
      </c>
      <c r="H452" s="1" t="str">
        <f>VLOOKUP(Filtro!F452,Comparacao!$G$7:$J$200,3,FALSE)</f>
        <v/>
      </c>
      <c r="I452" s="1" t="str">
        <f>VLOOKUP(Filtro!F452,Comparacao!$G$7:$J$200,4,FALSE)</f>
        <v/>
      </c>
    </row>
    <row r="453" spans="1:9" x14ac:dyDescent="0.25">
      <c r="A453" s="3" t="str">
        <f t="array" ref="A453">IFERROR(INDEX(Comparacao!$A$7:$A$200,SMALL(IF(Comparacao!$E$7:$E$200=$A$2,ROW(Comparacao!$A$7:$A$200)),ROW(449:449))-4,1),"")</f>
        <v/>
      </c>
      <c r="B453" s="3" t="str">
        <f>IFERROR(VLOOKUP(A453,Lista1[],2,FALSE),"")</f>
        <v/>
      </c>
      <c r="C453" s="1" t="str">
        <f>VLOOKUP(Filtro!A453,Comparacao!$A$7:$D$200,3,FALSE)</f>
        <v/>
      </c>
      <c r="D453" s="1" t="str">
        <f>VLOOKUP(Filtro!A453,Comparacao!$A$7:$D$200,4,FALSE)</f>
        <v/>
      </c>
      <c r="F453" t="str">
        <f t="array" ref="F453">IFERROR(INDEX(Comparacao!$G$7:$G$200,SMALL(IF(Comparacao!$K$7:$K$200=$A$2,ROW(Comparacao!$G$7:$G$200)),ROW(449:449))-4,1),"")</f>
        <v/>
      </c>
      <c r="G453" t="str">
        <f>IFERROR(VLOOKUP(F453,Lista2[],2,FALSE),"")</f>
        <v/>
      </c>
      <c r="H453" s="1" t="str">
        <f>VLOOKUP(Filtro!F453,Comparacao!$G$7:$J$200,3,FALSE)</f>
        <v/>
      </c>
      <c r="I453" s="1" t="str">
        <f>VLOOKUP(Filtro!F453,Comparacao!$G$7:$J$200,4,FALSE)</f>
        <v/>
      </c>
    </row>
    <row r="454" spans="1:9" x14ac:dyDescent="0.25">
      <c r="A454" s="3" t="str">
        <f t="array" ref="A454">IFERROR(INDEX(Comparacao!$A$7:$A$200,SMALL(IF(Comparacao!$E$7:$E$200=$A$2,ROW(Comparacao!$A$7:$A$200)),ROW(450:450))-4,1),"")</f>
        <v/>
      </c>
      <c r="B454" s="3" t="str">
        <f>IFERROR(VLOOKUP(A454,Lista1[],2,FALSE),"")</f>
        <v/>
      </c>
      <c r="C454" s="1" t="str">
        <f>VLOOKUP(Filtro!A454,Comparacao!$A$7:$D$200,3,FALSE)</f>
        <v/>
      </c>
      <c r="D454" s="1" t="str">
        <f>VLOOKUP(Filtro!A454,Comparacao!$A$7:$D$200,4,FALSE)</f>
        <v/>
      </c>
      <c r="F454" t="str">
        <f t="array" ref="F454">IFERROR(INDEX(Comparacao!$G$7:$G$200,SMALL(IF(Comparacao!$K$7:$K$200=$A$2,ROW(Comparacao!$G$7:$G$200)),ROW(450:450))-4,1),"")</f>
        <v/>
      </c>
      <c r="G454" t="str">
        <f>IFERROR(VLOOKUP(F454,Lista2[],2,FALSE),"")</f>
        <v/>
      </c>
      <c r="H454" s="1" t="str">
        <f>VLOOKUP(Filtro!F454,Comparacao!$G$7:$J$200,3,FALSE)</f>
        <v/>
      </c>
      <c r="I454" s="1" t="str">
        <f>VLOOKUP(Filtro!F454,Comparacao!$G$7:$J$200,4,FALSE)</f>
        <v/>
      </c>
    </row>
    <row r="455" spans="1:9" x14ac:dyDescent="0.25">
      <c r="A455" s="3" t="str">
        <f t="array" ref="A455">IFERROR(INDEX(Comparacao!$A$7:$A$200,SMALL(IF(Comparacao!$E$7:$E$200=$A$2,ROW(Comparacao!$A$7:$A$200)),ROW(451:451))-4,1),"")</f>
        <v/>
      </c>
      <c r="B455" s="3" t="str">
        <f>IFERROR(VLOOKUP(A455,Lista1[],2,FALSE),"")</f>
        <v/>
      </c>
      <c r="C455" s="1" t="str">
        <f>VLOOKUP(Filtro!A455,Comparacao!$A$7:$D$200,3,FALSE)</f>
        <v/>
      </c>
      <c r="D455" s="1" t="str">
        <f>VLOOKUP(Filtro!A455,Comparacao!$A$7:$D$200,4,FALSE)</f>
        <v/>
      </c>
      <c r="F455" t="str">
        <f t="array" ref="F455">IFERROR(INDEX(Comparacao!$G$7:$G$200,SMALL(IF(Comparacao!$K$7:$K$200=$A$2,ROW(Comparacao!$G$7:$G$200)),ROW(451:451))-4,1),"")</f>
        <v/>
      </c>
      <c r="G455" t="str">
        <f>IFERROR(VLOOKUP(F455,Lista2[],2,FALSE),"")</f>
        <v/>
      </c>
      <c r="H455" s="1" t="str">
        <f>VLOOKUP(Filtro!F455,Comparacao!$G$7:$J$200,3,FALSE)</f>
        <v/>
      </c>
      <c r="I455" s="1" t="str">
        <f>VLOOKUP(Filtro!F455,Comparacao!$G$7:$J$200,4,FALSE)</f>
        <v/>
      </c>
    </row>
    <row r="456" spans="1:9" x14ac:dyDescent="0.25">
      <c r="A456" s="3" t="str">
        <f t="array" ref="A456">IFERROR(INDEX(Comparacao!$A$7:$A$200,SMALL(IF(Comparacao!$E$7:$E$200=$A$2,ROW(Comparacao!$A$7:$A$200)),ROW(452:452))-4,1),"")</f>
        <v/>
      </c>
      <c r="B456" s="3" t="str">
        <f>IFERROR(VLOOKUP(A456,Lista1[],2,FALSE),"")</f>
        <v/>
      </c>
      <c r="C456" s="1" t="str">
        <f>VLOOKUP(Filtro!A456,Comparacao!$A$7:$D$200,3,FALSE)</f>
        <v/>
      </c>
      <c r="D456" s="1" t="str">
        <f>VLOOKUP(Filtro!A456,Comparacao!$A$7:$D$200,4,FALSE)</f>
        <v/>
      </c>
      <c r="F456" t="str">
        <f t="array" ref="F456">IFERROR(INDEX(Comparacao!$G$7:$G$200,SMALL(IF(Comparacao!$K$7:$K$200=$A$2,ROW(Comparacao!$G$7:$G$200)),ROW(452:452))-4,1),"")</f>
        <v/>
      </c>
      <c r="G456" t="str">
        <f>IFERROR(VLOOKUP(F456,Lista2[],2,FALSE),"")</f>
        <v/>
      </c>
      <c r="H456" s="1" t="str">
        <f>VLOOKUP(Filtro!F456,Comparacao!$G$7:$J$200,3,FALSE)</f>
        <v/>
      </c>
      <c r="I456" s="1" t="str">
        <f>VLOOKUP(Filtro!F456,Comparacao!$G$7:$J$200,4,FALSE)</f>
        <v/>
      </c>
    </row>
    <row r="457" spans="1:9" x14ac:dyDescent="0.25">
      <c r="A457" s="3" t="str">
        <f t="array" ref="A457">IFERROR(INDEX(Comparacao!$A$7:$A$200,SMALL(IF(Comparacao!$E$7:$E$200=$A$2,ROW(Comparacao!$A$7:$A$200)),ROW(453:453))-4,1),"")</f>
        <v/>
      </c>
      <c r="B457" s="3" t="str">
        <f>IFERROR(VLOOKUP(A457,Lista1[],2,FALSE),"")</f>
        <v/>
      </c>
      <c r="C457" s="1" t="str">
        <f>VLOOKUP(Filtro!A457,Comparacao!$A$7:$D$200,3,FALSE)</f>
        <v/>
      </c>
      <c r="D457" s="1" t="str">
        <f>VLOOKUP(Filtro!A457,Comparacao!$A$7:$D$200,4,FALSE)</f>
        <v/>
      </c>
      <c r="F457" t="str">
        <f t="array" ref="F457">IFERROR(INDEX(Comparacao!$G$7:$G$200,SMALL(IF(Comparacao!$K$7:$K$200=$A$2,ROW(Comparacao!$G$7:$G$200)),ROW(453:453))-4,1),"")</f>
        <v/>
      </c>
      <c r="G457" t="str">
        <f>IFERROR(VLOOKUP(F457,Lista2[],2,FALSE),"")</f>
        <v/>
      </c>
      <c r="H457" s="1" t="str">
        <f>VLOOKUP(Filtro!F457,Comparacao!$G$7:$J$200,3,FALSE)</f>
        <v/>
      </c>
      <c r="I457" s="1" t="str">
        <f>VLOOKUP(Filtro!F457,Comparacao!$G$7:$J$200,4,FALSE)</f>
        <v/>
      </c>
    </row>
    <row r="458" spans="1:9" x14ac:dyDescent="0.25">
      <c r="A458" s="3" t="str">
        <f t="array" ref="A458">IFERROR(INDEX(Comparacao!$A$7:$A$200,SMALL(IF(Comparacao!$E$7:$E$200=$A$2,ROW(Comparacao!$A$7:$A$200)),ROW(454:454))-4,1),"")</f>
        <v/>
      </c>
      <c r="B458" s="3" t="str">
        <f>IFERROR(VLOOKUP(A458,Lista1[],2,FALSE),"")</f>
        <v/>
      </c>
      <c r="C458" s="1" t="str">
        <f>VLOOKUP(Filtro!A458,Comparacao!$A$7:$D$200,3,FALSE)</f>
        <v/>
      </c>
      <c r="D458" s="1" t="str">
        <f>VLOOKUP(Filtro!A458,Comparacao!$A$7:$D$200,4,FALSE)</f>
        <v/>
      </c>
      <c r="F458" t="str">
        <f t="array" ref="F458">IFERROR(INDEX(Comparacao!$G$7:$G$200,SMALL(IF(Comparacao!$K$7:$K$200=$A$2,ROW(Comparacao!$G$7:$G$200)),ROW(454:454))-4,1),"")</f>
        <v/>
      </c>
      <c r="G458" t="str">
        <f>IFERROR(VLOOKUP(F458,Lista2[],2,FALSE),"")</f>
        <v/>
      </c>
      <c r="H458" s="1" t="str">
        <f>VLOOKUP(Filtro!F458,Comparacao!$G$7:$J$200,3,FALSE)</f>
        <v/>
      </c>
      <c r="I458" s="1" t="str">
        <f>VLOOKUP(Filtro!F458,Comparacao!$G$7:$J$200,4,FALSE)</f>
        <v/>
      </c>
    </row>
    <row r="459" spans="1:9" x14ac:dyDescent="0.25">
      <c r="A459" s="3" t="str">
        <f t="array" ref="A459">IFERROR(INDEX(Comparacao!$A$7:$A$200,SMALL(IF(Comparacao!$E$7:$E$200=$A$2,ROW(Comparacao!$A$7:$A$200)),ROW(455:455))-4,1),"")</f>
        <v/>
      </c>
      <c r="B459" s="3" t="str">
        <f>IFERROR(VLOOKUP(A459,Lista1[],2,FALSE),"")</f>
        <v/>
      </c>
      <c r="C459" s="1" t="str">
        <f>VLOOKUP(Filtro!A459,Comparacao!$A$7:$D$200,3,FALSE)</f>
        <v/>
      </c>
      <c r="D459" s="1" t="str">
        <f>VLOOKUP(Filtro!A459,Comparacao!$A$7:$D$200,4,FALSE)</f>
        <v/>
      </c>
      <c r="F459" t="str">
        <f t="array" ref="F459">IFERROR(INDEX(Comparacao!$G$7:$G$200,SMALL(IF(Comparacao!$K$7:$K$200=$A$2,ROW(Comparacao!$G$7:$G$200)),ROW(455:455))-4,1),"")</f>
        <v/>
      </c>
      <c r="G459" t="str">
        <f>IFERROR(VLOOKUP(F459,Lista2[],2,FALSE),"")</f>
        <v/>
      </c>
      <c r="H459" s="1" t="str">
        <f>VLOOKUP(Filtro!F459,Comparacao!$G$7:$J$200,3,FALSE)</f>
        <v/>
      </c>
      <c r="I459" s="1" t="str">
        <f>VLOOKUP(Filtro!F459,Comparacao!$G$7:$J$200,4,FALSE)</f>
        <v/>
      </c>
    </row>
    <row r="460" spans="1:9" x14ac:dyDescent="0.25">
      <c r="A460" s="3" t="str">
        <f t="array" ref="A460">IFERROR(INDEX(Comparacao!$A$7:$A$200,SMALL(IF(Comparacao!$E$7:$E$200=$A$2,ROW(Comparacao!$A$7:$A$200)),ROW(456:456))-4,1),"")</f>
        <v/>
      </c>
      <c r="B460" s="3" t="str">
        <f>IFERROR(VLOOKUP(A460,Lista1[],2,FALSE),"")</f>
        <v/>
      </c>
      <c r="C460" s="1" t="str">
        <f>VLOOKUP(Filtro!A460,Comparacao!$A$7:$D$200,3,FALSE)</f>
        <v/>
      </c>
      <c r="D460" s="1" t="str">
        <f>VLOOKUP(Filtro!A460,Comparacao!$A$7:$D$200,4,FALSE)</f>
        <v/>
      </c>
      <c r="F460" t="str">
        <f t="array" ref="F460">IFERROR(INDEX(Comparacao!$G$7:$G$200,SMALL(IF(Comparacao!$K$7:$K$200=$A$2,ROW(Comparacao!$G$7:$G$200)),ROW(456:456))-4,1),"")</f>
        <v/>
      </c>
      <c r="G460" t="str">
        <f>IFERROR(VLOOKUP(F460,Lista2[],2,FALSE),"")</f>
        <v/>
      </c>
      <c r="H460" s="1" t="str">
        <f>VLOOKUP(Filtro!F460,Comparacao!$G$7:$J$200,3,FALSE)</f>
        <v/>
      </c>
      <c r="I460" s="1" t="str">
        <f>VLOOKUP(Filtro!F460,Comparacao!$G$7:$J$200,4,FALSE)</f>
        <v/>
      </c>
    </row>
    <row r="461" spans="1:9" x14ac:dyDescent="0.25">
      <c r="A461" s="3" t="str">
        <f t="array" ref="A461">IFERROR(INDEX(Comparacao!$A$7:$A$200,SMALL(IF(Comparacao!$E$7:$E$200=$A$2,ROW(Comparacao!$A$7:$A$200)),ROW(457:457))-4,1),"")</f>
        <v/>
      </c>
      <c r="B461" s="3" t="str">
        <f>IFERROR(VLOOKUP(A461,Lista1[],2,FALSE),"")</f>
        <v/>
      </c>
      <c r="C461" s="1" t="str">
        <f>VLOOKUP(Filtro!A461,Comparacao!$A$7:$D$200,3,FALSE)</f>
        <v/>
      </c>
      <c r="D461" s="1" t="str">
        <f>VLOOKUP(Filtro!A461,Comparacao!$A$7:$D$200,4,FALSE)</f>
        <v/>
      </c>
      <c r="F461" t="str">
        <f t="array" ref="F461">IFERROR(INDEX(Comparacao!$G$7:$G$200,SMALL(IF(Comparacao!$K$7:$K$200=$A$2,ROW(Comparacao!$G$7:$G$200)),ROW(457:457))-4,1),"")</f>
        <v/>
      </c>
      <c r="G461" t="str">
        <f>IFERROR(VLOOKUP(F461,Lista2[],2,FALSE),"")</f>
        <v/>
      </c>
      <c r="H461" s="1" t="str">
        <f>VLOOKUP(Filtro!F461,Comparacao!$G$7:$J$200,3,FALSE)</f>
        <v/>
      </c>
      <c r="I461" s="1" t="str">
        <f>VLOOKUP(Filtro!F461,Comparacao!$G$7:$J$200,4,FALSE)</f>
        <v/>
      </c>
    </row>
    <row r="462" spans="1:9" x14ac:dyDescent="0.25">
      <c r="A462" s="3" t="str">
        <f t="array" ref="A462">IFERROR(INDEX(Comparacao!$A$7:$A$200,SMALL(IF(Comparacao!$E$7:$E$200=$A$2,ROW(Comparacao!$A$7:$A$200)),ROW(458:458))-4,1),"")</f>
        <v/>
      </c>
      <c r="B462" s="3" t="str">
        <f>IFERROR(VLOOKUP(A462,Lista1[],2,FALSE),"")</f>
        <v/>
      </c>
      <c r="C462" s="1" t="str">
        <f>VLOOKUP(Filtro!A462,Comparacao!$A$7:$D$200,3,FALSE)</f>
        <v/>
      </c>
      <c r="D462" s="1" t="str">
        <f>VLOOKUP(Filtro!A462,Comparacao!$A$7:$D$200,4,FALSE)</f>
        <v/>
      </c>
      <c r="F462" t="str">
        <f t="array" ref="F462">IFERROR(INDEX(Comparacao!$G$7:$G$200,SMALL(IF(Comparacao!$K$7:$K$200=$A$2,ROW(Comparacao!$G$7:$G$200)),ROW(458:458))-4,1),"")</f>
        <v/>
      </c>
      <c r="G462" t="str">
        <f>IFERROR(VLOOKUP(F462,Lista2[],2,FALSE),"")</f>
        <v/>
      </c>
      <c r="H462" s="1" t="str">
        <f>VLOOKUP(Filtro!F462,Comparacao!$G$7:$J$200,3,FALSE)</f>
        <v/>
      </c>
      <c r="I462" s="1" t="str">
        <f>VLOOKUP(Filtro!F462,Comparacao!$G$7:$J$200,4,FALSE)</f>
        <v/>
      </c>
    </row>
    <row r="463" spans="1:9" x14ac:dyDescent="0.25">
      <c r="A463" s="3" t="str">
        <f t="array" ref="A463">IFERROR(INDEX(Comparacao!$A$7:$A$200,SMALL(IF(Comparacao!$E$7:$E$200=$A$2,ROW(Comparacao!$A$7:$A$200)),ROW(459:459))-4,1),"")</f>
        <v/>
      </c>
      <c r="B463" s="3" t="str">
        <f>IFERROR(VLOOKUP(A463,Lista1[],2,FALSE),"")</f>
        <v/>
      </c>
      <c r="C463" s="1" t="str">
        <f>VLOOKUP(Filtro!A463,Comparacao!$A$7:$D$200,3,FALSE)</f>
        <v/>
      </c>
      <c r="D463" s="1" t="str">
        <f>VLOOKUP(Filtro!A463,Comparacao!$A$7:$D$200,4,FALSE)</f>
        <v/>
      </c>
      <c r="F463" t="str">
        <f t="array" ref="F463">IFERROR(INDEX(Comparacao!$G$7:$G$200,SMALL(IF(Comparacao!$K$7:$K$200=$A$2,ROW(Comparacao!$G$7:$G$200)),ROW(459:459))-4,1),"")</f>
        <v/>
      </c>
      <c r="G463" t="str">
        <f>IFERROR(VLOOKUP(F463,Lista2[],2,FALSE),"")</f>
        <v/>
      </c>
      <c r="H463" s="1" t="str">
        <f>VLOOKUP(Filtro!F463,Comparacao!$G$7:$J$200,3,FALSE)</f>
        <v/>
      </c>
      <c r="I463" s="1" t="str">
        <f>VLOOKUP(Filtro!F463,Comparacao!$G$7:$J$200,4,FALSE)</f>
        <v/>
      </c>
    </row>
    <row r="464" spans="1:9" x14ac:dyDescent="0.25">
      <c r="A464" s="3" t="str">
        <f t="array" ref="A464">IFERROR(INDEX(Comparacao!$A$7:$A$200,SMALL(IF(Comparacao!$E$7:$E$200=$A$2,ROW(Comparacao!$A$7:$A$200)),ROW(460:460))-4,1),"")</f>
        <v/>
      </c>
      <c r="B464" s="3" t="str">
        <f>IFERROR(VLOOKUP(A464,Lista1[],2,FALSE),"")</f>
        <v/>
      </c>
      <c r="C464" s="1" t="str">
        <f>VLOOKUP(Filtro!A464,Comparacao!$A$7:$D$200,3,FALSE)</f>
        <v/>
      </c>
      <c r="D464" s="1" t="str">
        <f>VLOOKUP(Filtro!A464,Comparacao!$A$7:$D$200,4,FALSE)</f>
        <v/>
      </c>
      <c r="F464" t="str">
        <f t="array" ref="F464">IFERROR(INDEX(Comparacao!$G$7:$G$200,SMALL(IF(Comparacao!$K$7:$K$200=$A$2,ROW(Comparacao!$G$7:$G$200)),ROW(460:460))-4,1),"")</f>
        <v/>
      </c>
      <c r="G464" t="str">
        <f>IFERROR(VLOOKUP(F464,Lista2[],2,FALSE),"")</f>
        <v/>
      </c>
      <c r="H464" s="1" t="str">
        <f>VLOOKUP(Filtro!F464,Comparacao!$G$7:$J$200,3,FALSE)</f>
        <v/>
      </c>
      <c r="I464" s="1" t="str">
        <f>VLOOKUP(Filtro!F464,Comparacao!$G$7:$J$200,4,FALSE)</f>
        <v/>
      </c>
    </row>
    <row r="465" spans="1:9" x14ac:dyDescent="0.25">
      <c r="A465" s="3" t="str">
        <f t="array" ref="A465">IFERROR(INDEX(Comparacao!$A$7:$A$200,SMALL(IF(Comparacao!$E$7:$E$200=$A$2,ROW(Comparacao!$A$7:$A$200)),ROW(461:461))-4,1),"")</f>
        <v/>
      </c>
      <c r="B465" s="3" t="str">
        <f>IFERROR(VLOOKUP(A465,Lista1[],2,FALSE),"")</f>
        <v/>
      </c>
      <c r="C465" s="1" t="str">
        <f>VLOOKUP(Filtro!A465,Comparacao!$A$7:$D$200,3,FALSE)</f>
        <v/>
      </c>
      <c r="D465" s="1" t="str">
        <f>VLOOKUP(Filtro!A465,Comparacao!$A$7:$D$200,4,FALSE)</f>
        <v/>
      </c>
      <c r="F465" t="str">
        <f t="array" ref="F465">IFERROR(INDEX(Comparacao!$G$7:$G$200,SMALL(IF(Comparacao!$K$7:$K$200=$A$2,ROW(Comparacao!$G$7:$G$200)),ROW(461:461))-4,1),"")</f>
        <v/>
      </c>
      <c r="G465" t="str">
        <f>IFERROR(VLOOKUP(F465,Lista2[],2,FALSE),"")</f>
        <v/>
      </c>
      <c r="H465" s="1" t="str">
        <f>VLOOKUP(Filtro!F465,Comparacao!$G$7:$J$200,3,FALSE)</f>
        <v/>
      </c>
      <c r="I465" s="1" t="str">
        <f>VLOOKUP(Filtro!F465,Comparacao!$G$7:$J$200,4,FALSE)</f>
        <v/>
      </c>
    </row>
    <row r="466" spans="1:9" x14ac:dyDescent="0.25">
      <c r="A466" s="3" t="str">
        <f t="array" ref="A466">IFERROR(INDEX(Comparacao!$A$7:$A$200,SMALL(IF(Comparacao!$E$7:$E$200=$A$2,ROW(Comparacao!$A$7:$A$200)),ROW(462:462))-4,1),"")</f>
        <v/>
      </c>
      <c r="B466" s="3" t="str">
        <f>IFERROR(VLOOKUP(A466,Lista1[],2,FALSE),"")</f>
        <v/>
      </c>
      <c r="C466" s="1" t="str">
        <f>VLOOKUP(Filtro!A466,Comparacao!$A$7:$D$200,3,FALSE)</f>
        <v/>
      </c>
      <c r="D466" s="1" t="str">
        <f>VLOOKUP(Filtro!A466,Comparacao!$A$7:$D$200,4,FALSE)</f>
        <v/>
      </c>
      <c r="F466" t="str">
        <f t="array" ref="F466">IFERROR(INDEX(Comparacao!$G$7:$G$200,SMALL(IF(Comparacao!$K$7:$K$200=$A$2,ROW(Comparacao!$G$7:$G$200)),ROW(462:462))-4,1),"")</f>
        <v/>
      </c>
      <c r="G466" t="str">
        <f>IFERROR(VLOOKUP(F466,Lista2[],2,FALSE),"")</f>
        <v/>
      </c>
      <c r="H466" s="1" t="str">
        <f>VLOOKUP(Filtro!F466,Comparacao!$G$7:$J$200,3,FALSE)</f>
        <v/>
      </c>
      <c r="I466" s="1" t="str">
        <f>VLOOKUP(Filtro!F466,Comparacao!$G$7:$J$200,4,FALSE)</f>
        <v/>
      </c>
    </row>
    <row r="467" spans="1:9" x14ac:dyDescent="0.25">
      <c r="A467" s="3" t="str">
        <f t="array" ref="A467">IFERROR(INDEX(Comparacao!$A$7:$A$200,SMALL(IF(Comparacao!$E$7:$E$200=$A$2,ROW(Comparacao!$A$7:$A$200)),ROW(463:463))-4,1),"")</f>
        <v/>
      </c>
      <c r="B467" s="3" t="str">
        <f>IFERROR(VLOOKUP(A467,Lista1[],2,FALSE),"")</f>
        <v/>
      </c>
      <c r="C467" s="1" t="str">
        <f>VLOOKUP(Filtro!A467,Comparacao!$A$7:$D$200,3,FALSE)</f>
        <v/>
      </c>
      <c r="D467" s="1" t="str">
        <f>VLOOKUP(Filtro!A467,Comparacao!$A$7:$D$200,4,FALSE)</f>
        <v/>
      </c>
      <c r="F467" t="str">
        <f t="array" ref="F467">IFERROR(INDEX(Comparacao!$G$7:$G$200,SMALL(IF(Comparacao!$K$7:$K$200=$A$2,ROW(Comparacao!$G$7:$G$200)),ROW(463:463))-4,1),"")</f>
        <v/>
      </c>
      <c r="G467" t="str">
        <f>IFERROR(VLOOKUP(F467,Lista2[],2,FALSE),"")</f>
        <v/>
      </c>
      <c r="H467" s="1" t="str">
        <f>VLOOKUP(Filtro!F467,Comparacao!$G$7:$J$200,3,FALSE)</f>
        <v/>
      </c>
      <c r="I467" s="1" t="str">
        <f>VLOOKUP(Filtro!F467,Comparacao!$G$7:$J$200,4,FALSE)</f>
        <v/>
      </c>
    </row>
    <row r="468" spans="1:9" x14ac:dyDescent="0.25">
      <c r="A468" s="3" t="str">
        <f t="array" ref="A468">IFERROR(INDEX(Comparacao!$A$7:$A$200,SMALL(IF(Comparacao!$E$7:$E$200=$A$2,ROW(Comparacao!$A$7:$A$200)),ROW(464:464))-4,1),"")</f>
        <v/>
      </c>
      <c r="B468" s="3" t="str">
        <f>IFERROR(VLOOKUP(A468,Lista1[],2,FALSE),"")</f>
        <v/>
      </c>
      <c r="C468" s="1" t="str">
        <f>VLOOKUP(Filtro!A468,Comparacao!$A$7:$D$200,3,FALSE)</f>
        <v/>
      </c>
      <c r="D468" s="1" t="str">
        <f>VLOOKUP(Filtro!A468,Comparacao!$A$7:$D$200,4,FALSE)</f>
        <v/>
      </c>
      <c r="F468" t="str">
        <f t="array" ref="F468">IFERROR(INDEX(Comparacao!$G$7:$G$200,SMALL(IF(Comparacao!$K$7:$K$200=$A$2,ROW(Comparacao!$G$7:$G$200)),ROW(464:464))-4,1),"")</f>
        <v/>
      </c>
      <c r="G468" t="str">
        <f>IFERROR(VLOOKUP(F468,Lista2[],2,FALSE),"")</f>
        <v/>
      </c>
      <c r="H468" s="1" t="str">
        <f>VLOOKUP(Filtro!F468,Comparacao!$G$7:$J$200,3,FALSE)</f>
        <v/>
      </c>
      <c r="I468" s="1" t="str">
        <f>VLOOKUP(Filtro!F468,Comparacao!$G$7:$J$200,4,FALSE)</f>
        <v/>
      </c>
    </row>
    <row r="469" spans="1:9" x14ac:dyDescent="0.25">
      <c r="A469" s="3" t="str">
        <f t="array" ref="A469">IFERROR(INDEX(Comparacao!$A$7:$A$200,SMALL(IF(Comparacao!$E$7:$E$200=$A$2,ROW(Comparacao!$A$7:$A$200)),ROW(465:465))-4,1),"")</f>
        <v/>
      </c>
      <c r="B469" s="3" t="str">
        <f>IFERROR(VLOOKUP(A469,Lista1[],2,FALSE),"")</f>
        <v/>
      </c>
      <c r="C469" s="1" t="str">
        <f>VLOOKUP(Filtro!A469,Comparacao!$A$7:$D$200,3,FALSE)</f>
        <v/>
      </c>
      <c r="D469" s="1" t="str">
        <f>VLOOKUP(Filtro!A469,Comparacao!$A$7:$D$200,4,FALSE)</f>
        <v/>
      </c>
      <c r="F469" t="str">
        <f t="array" ref="F469">IFERROR(INDEX(Comparacao!$G$7:$G$200,SMALL(IF(Comparacao!$K$7:$K$200=$A$2,ROW(Comparacao!$G$7:$G$200)),ROW(465:465))-4,1),"")</f>
        <v/>
      </c>
      <c r="G469" t="str">
        <f>IFERROR(VLOOKUP(F469,Lista2[],2,FALSE),"")</f>
        <v/>
      </c>
      <c r="H469" s="1" t="str">
        <f>VLOOKUP(Filtro!F469,Comparacao!$G$7:$J$200,3,FALSE)</f>
        <v/>
      </c>
      <c r="I469" s="1" t="str">
        <f>VLOOKUP(Filtro!F469,Comparacao!$G$7:$J$200,4,FALSE)</f>
        <v/>
      </c>
    </row>
    <row r="470" spans="1:9" x14ac:dyDescent="0.25">
      <c r="A470" s="3" t="str">
        <f t="array" ref="A470">IFERROR(INDEX(Comparacao!$A$7:$A$200,SMALL(IF(Comparacao!$E$7:$E$200=$A$2,ROW(Comparacao!$A$7:$A$200)),ROW(466:466))-4,1),"")</f>
        <v/>
      </c>
      <c r="B470" s="3" t="str">
        <f>IFERROR(VLOOKUP(A470,Lista1[],2,FALSE),"")</f>
        <v/>
      </c>
      <c r="C470" s="1" t="str">
        <f>VLOOKUP(Filtro!A470,Comparacao!$A$7:$D$200,3,FALSE)</f>
        <v/>
      </c>
      <c r="D470" s="1" t="str">
        <f>VLOOKUP(Filtro!A470,Comparacao!$A$7:$D$200,4,FALSE)</f>
        <v/>
      </c>
      <c r="F470" t="str">
        <f t="array" ref="F470">IFERROR(INDEX(Comparacao!$G$7:$G$200,SMALL(IF(Comparacao!$K$7:$K$200=$A$2,ROW(Comparacao!$G$7:$G$200)),ROW(466:466))-4,1),"")</f>
        <v/>
      </c>
      <c r="G470" t="str">
        <f>IFERROR(VLOOKUP(F470,Lista2[],2,FALSE),"")</f>
        <v/>
      </c>
      <c r="H470" s="1" t="str">
        <f>VLOOKUP(Filtro!F470,Comparacao!$G$7:$J$200,3,FALSE)</f>
        <v/>
      </c>
      <c r="I470" s="1" t="str">
        <f>VLOOKUP(Filtro!F470,Comparacao!$G$7:$J$200,4,FALSE)</f>
        <v/>
      </c>
    </row>
    <row r="471" spans="1:9" x14ac:dyDescent="0.25">
      <c r="A471" s="3" t="str">
        <f t="array" ref="A471">IFERROR(INDEX(Comparacao!$A$7:$A$200,SMALL(IF(Comparacao!$E$7:$E$200=$A$2,ROW(Comparacao!$A$7:$A$200)),ROW(467:467))-4,1),"")</f>
        <v/>
      </c>
      <c r="B471" s="3" t="str">
        <f>IFERROR(VLOOKUP(A471,Lista1[],2,FALSE),"")</f>
        <v/>
      </c>
      <c r="C471" s="1" t="str">
        <f>VLOOKUP(Filtro!A471,Comparacao!$A$7:$D$200,3,FALSE)</f>
        <v/>
      </c>
      <c r="D471" s="1" t="str">
        <f>VLOOKUP(Filtro!A471,Comparacao!$A$7:$D$200,4,FALSE)</f>
        <v/>
      </c>
      <c r="F471" t="str">
        <f t="array" ref="F471">IFERROR(INDEX(Comparacao!$G$7:$G$200,SMALL(IF(Comparacao!$K$7:$K$200=$A$2,ROW(Comparacao!$G$7:$G$200)),ROW(467:467))-4,1),"")</f>
        <v/>
      </c>
      <c r="G471" t="str">
        <f>IFERROR(VLOOKUP(F471,Lista2[],2,FALSE),"")</f>
        <v/>
      </c>
      <c r="H471" s="1" t="str">
        <f>VLOOKUP(Filtro!F471,Comparacao!$G$7:$J$200,3,FALSE)</f>
        <v/>
      </c>
      <c r="I471" s="1" t="str">
        <f>VLOOKUP(Filtro!F471,Comparacao!$G$7:$J$200,4,FALSE)</f>
        <v/>
      </c>
    </row>
    <row r="472" spans="1:9" x14ac:dyDescent="0.25">
      <c r="A472" s="3" t="str">
        <f t="array" ref="A472">IFERROR(INDEX(Comparacao!$A$7:$A$200,SMALL(IF(Comparacao!$E$7:$E$200=$A$2,ROW(Comparacao!$A$7:$A$200)),ROW(468:468))-4,1),"")</f>
        <v/>
      </c>
      <c r="B472" s="3" t="str">
        <f>IFERROR(VLOOKUP(A472,Lista1[],2,FALSE),"")</f>
        <v/>
      </c>
      <c r="C472" s="1" t="str">
        <f>VLOOKUP(Filtro!A472,Comparacao!$A$7:$D$200,3,FALSE)</f>
        <v/>
      </c>
      <c r="D472" s="1" t="str">
        <f>VLOOKUP(Filtro!A472,Comparacao!$A$7:$D$200,4,FALSE)</f>
        <v/>
      </c>
      <c r="F472" t="str">
        <f t="array" ref="F472">IFERROR(INDEX(Comparacao!$G$7:$G$200,SMALL(IF(Comparacao!$K$7:$K$200=$A$2,ROW(Comparacao!$G$7:$G$200)),ROW(468:468))-4,1),"")</f>
        <v/>
      </c>
      <c r="G472" t="str">
        <f>IFERROR(VLOOKUP(F472,Lista2[],2,FALSE),"")</f>
        <v/>
      </c>
      <c r="H472" s="1" t="str">
        <f>VLOOKUP(Filtro!F472,Comparacao!$G$7:$J$200,3,FALSE)</f>
        <v/>
      </c>
      <c r="I472" s="1" t="str">
        <f>VLOOKUP(Filtro!F472,Comparacao!$G$7:$J$200,4,FALSE)</f>
        <v/>
      </c>
    </row>
    <row r="473" spans="1:9" x14ac:dyDescent="0.25">
      <c r="A473" s="3" t="str">
        <f t="array" ref="A473">IFERROR(INDEX(Comparacao!$A$7:$A$200,SMALL(IF(Comparacao!$E$7:$E$200=$A$2,ROW(Comparacao!$A$7:$A$200)),ROW(469:469))-4,1),"")</f>
        <v/>
      </c>
      <c r="B473" s="3" t="str">
        <f>IFERROR(VLOOKUP(A473,Lista1[],2,FALSE),"")</f>
        <v/>
      </c>
      <c r="C473" s="1" t="str">
        <f>VLOOKUP(Filtro!A473,Comparacao!$A$7:$D$200,3,FALSE)</f>
        <v/>
      </c>
      <c r="D473" s="1" t="str">
        <f>VLOOKUP(Filtro!A473,Comparacao!$A$7:$D$200,4,FALSE)</f>
        <v/>
      </c>
      <c r="F473" t="str">
        <f t="array" ref="F473">IFERROR(INDEX(Comparacao!$G$7:$G$200,SMALL(IF(Comparacao!$K$7:$K$200=$A$2,ROW(Comparacao!$G$7:$G$200)),ROW(469:469))-4,1),"")</f>
        <v/>
      </c>
      <c r="G473" t="str">
        <f>IFERROR(VLOOKUP(F473,Lista2[],2,FALSE),"")</f>
        <v/>
      </c>
      <c r="H473" s="1" t="str">
        <f>VLOOKUP(Filtro!F473,Comparacao!$G$7:$J$200,3,FALSE)</f>
        <v/>
      </c>
      <c r="I473" s="1" t="str">
        <f>VLOOKUP(Filtro!F473,Comparacao!$G$7:$J$200,4,FALSE)</f>
        <v/>
      </c>
    </row>
    <row r="474" spans="1:9" x14ac:dyDescent="0.25">
      <c r="A474" s="3" t="str">
        <f t="array" ref="A474">IFERROR(INDEX(Comparacao!$A$7:$A$200,SMALL(IF(Comparacao!$E$7:$E$200=$A$2,ROW(Comparacao!$A$7:$A$200)),ROW(470:470))-4,1),"")</f>
        <v/>
      </c>
      <c r="B474" s="3" t="str">
        <f>IFERROR(VLOOKUP(A474,Lista1[],2,FALSE),"")</f>
        <v/>
      </c>
      <c r="C474" s="1" t="str">
        <f>VLOOKUP(Filtro!A474,Comparacao!$A$7:$D$200,3,FALSE)</f>
        <v/>
      </c>
      <c r="D474" s="1" t="str">
        <f>VLOOKUP(Filtro!A474,Comparacao!$A$7:$D$200,4,FALSE)</f>
        <v/>
      </c>
      <c r="F474" t="str">
        <f t="array" ref="F474">IFERROR(INDEX(Comparacao!$G$7:$G$200,SMALL(IF(Comparacao!$K$7:$K$200=$A$2,ROW(Comparacao!$G$7:$G$200)),ROW(470:470))-4,1),"")</f>
        <v/>
      </c>
      <c r="G474" t="str">
        <f>IFERROR(VLOOKUP(F474,Lista2[],2,FALSE),"")</f>
        <v/>
      </c>
      <c r="H474" s="1" t="str">
        <f>VLOOKUP(Filtro!F474,Comparacao!$G$7:$J$200,3,FALSE)</f>
        <v/>
      </c>
      <c r="I474" s="1" t="str">
        <f>VLOOKUP(Filtro!F474,Comparacao!$G$7:$J$200,4,FALSE)</f>
        <v/>
      </c>
    </row>
    <row r="475" spans="1:9" x14ac:dyDescent="0.25">
      <c r="A475" s="3" t="str">
        <f t="array" ref="A475">IFERROR(INDEX(Comparacao!$A$7:$A$200,SMALL(IF(Comparacao!$E$7:$E$200=$A$2,ROW(Comparacao!$A$7:$A$200)),ROW(471:471))-4,1),"")</f>
        <v/>
      </c>
      <c r="B475" s="3" t="str">
        <f>IFERROR(VLOOKUP(A475,Lista1[],2,FALSE),"")</f>
        <v/>
      </c>
      <c r="C475" s="1" t="str">
        <f>VLOOKUP(Filtro!A475,Comparacao!$A$7:$D$200,3,FALSE)</f>
        <v/>
      </c>
      <c r="D475" s="1" t="str">
        <f>VLOOKUP(Filtro!A475,Comparacao!$A$7:$D$200,4,FALSE)</f>
        <v/>
      </c>
      <c r="F475" t="str">
        <f t="array" ref="F475">IFERROR(INDEX(Comparacao!$G$7:$G$200,SMALL(IF(Comparacao!$K$7:$K$200=$A$2,ROW(Comparacao!$G$7:$G$200)),ROW(471:471))-4,1),"")</f>
        <v/>
      </c>
      <c r="G475" t="str">
        <f>IFERROR(VLOOKUP(F475,Lista2[],2,FALSE),"")</f>
        <v/>
      </c>
      <c r="H475" s="1" t="str">
        <f>VLOOKUP(Filtro!F475,Comparacao!$G$7:$J$200,3,FALSE)</f>
        <v/>
      </c>
      <c r="I475" s="1" t="str">
        <f>VLOOKUP(Filtro!F475,Comparacao!$G$7:$J$200,4,FALSE)</f>
        <v/>
      </c>
    </row>
    <row r="476" spans="1:9" x14ac:dyDescent="0.25">
      <c r="A476" s="3" t="str">
        <f t="array" ref="A476">IFERROR(INDEX(Comparacao!$A$7:$A$200,SMALL(IF(Comparacao!$E$7:$E$200=$A$2,ROW(Comparacao!$A$7:$A$200)),ROW(472:472))-4,1),"")</f>
        <v/>
      </c>
      <c r="B476" s="3" t="str">
        <f>IFERROR(VLOOKUP(A476,Lista1[],2,FALSE),"")</f>
        <v/>
      </c>
      <c r="C476" s="1" t="str">
        <f>VLOOKUP(Filtro!A476,Comparacao!$A$7:$D$200,3,FALSE)</f>
        <v/>
      </c>
      <c r="D476" s="1" t="str">
        <f>VLOOKUP(Filtro!A476,Comparacao!$A$7:$D$200,4,FALSE)</f>
        <v/>
      </c>
      <c r="F476" t="str">
        <f t="array" ref="F476">IFERROR(INDEX(Comparacao!$G$7:$G$200,SMALL(IF(Comparacao!$K$7:$K$200=$A$2,ROW(Comparacao!$G$7:$G$200)),ROW(472:472))-4,1),"")</f>
        <v/>
      </c>
      <c r="G476" t="str">
        <f>IFERROR(VLOOKUP(F476,Lista2[],2,FALSE),"")</f>
        <v/>
      </c>
      <c r="H476" s="1" t="str">
        <f>VLOOKUP(Filtro!F476,Comparacao!$G$7:$J$200,3,FALSE)</f>
        <v/>
      </c>
      <c r="I476" s="1" t="str">
        <f>VLOOKUP(Filtro!F476,Comparacao!$G$7:$J$200,4,FALSE)</f>
        <v/>
      </c>
    </row>
    <row r="477" spans="1:9" x14ac:dyDescent="0.25">
      <c r="A477" s="3" t="str">
        <f t="array" ref="A477">IFERROR(INDEX(Comparacao!$A$7:$A$200,SMALL(IF(Comparacao!$E$7:$E$200=$A$2,ROW(Comparacao!$A$7:$A$200)),ROW(473:473))-4,1),"")</f>
        <v/>
      </c>
      <c r="B477" s="3" t="str">
        <f>IFERROR(VLOOKUP(A477,Lista1[],2,FALSE),"")</f>
        <v/>
      </c>
      <c r="C477" s="1" t="str">
        <f>VLOOKUP(Filtro!A477,Comparacao!$A$7:$D$200,3,FALSE)</f>
        <v/>
      </c>
      <c r="D477" s="1" t="str">
        <f>VLOOKUP(Filtro!A477,Comparacao!$A$7:$D$200,4,FALSE)</f>
        <v/>
      </c>
      <c r="F477" t="str">
        <f t="array" ref="F477">IFERROR(INDEX(Comparacao!$G$7:$G$200,SMALL(IF(Comparacao!$K$7:$K$200=$A$2,ROW(Comparacao!$G$7:$G$200)),ROW(473:473))-4,1),"")</f>
        <v/>
      </c>
      <c r="G477" t="str">
        <f>IFERROR(VLOOKUP(F477,Lista2[],2,FALSE),"")</f>
        <v/>
      </c>
      <c r="H477" s="1" t="str">
        <f>VLOOKUP(Filtro!F477,Comparacao!$G$7:$J$200,3,FALSE)</f>
        <v/>
      </c>
      <c r="I477" s="1" t="str">
        <f>VLOOKUP(Filtro!F477,Comparacao!$G$7:$J$200,4,FALSE)</f>
        <v/>
      </c>
    </row>
    <row r="478" spans="1:9" x14ac:dyDescent="0.25">
      <c r="A478" s="3" t="str">
        <f t="array" ref="A478">IFERROR(INDEX(Comparacao!$A$7:$A$200,SMALL(IF(Comparacao!$E$7:$E$200=$A$2,ROW(Comparacao!$A$7:$A$200)),ROW(474:474))-4,1),"")</f>
        <v/>
      </c>
      <c r="B478" s="3" t="str">
        <f>IFERROR(VLOOKUP(A478,Lista1[],2,FALSE),"")</f>
        <v/>
      </c>
      <c r="C478" s="1" t="str">
        <f>VLOOKUP(Filtro!A478,Comparacao!$A$7:$D$200,3,FALSE)</f>
        <v/>
      </c>
      <c r="D478" s="1" t="str">
        <f>VLOOKUP(Filtro!A478,Comparacao!$A$7:$D$200,4,FALSE)</f>
        <v/>
      </c>
      <c r="F478" t="str">
        <f t="array" ref="F478">IFERROR(INDEX(Comparacao!$G$7:$G$200,SMALL(IF(Comparacao!$K$7:$K$200=$A$2,ROW(Comparacao!$G$7:$G$200)),ROW(474:474))-4,1),"")</f>
        <v/>
      </c>
      <c r="G478" t="str">
        <f>IFERROR(VLOOKUP(F478,Lista2[],2,FALSE),"")</f>
        <v/>
      </c>
      <c r="H478" s="1" t="str">
        <f>VLOOKUP(Filtro!F478,Comparacao!$G$7:$J$200,3,FALSE)</f>
        <v/>
      </c>
      <c r="I478" s="1" t="str">
        <f>VLOOKUP(Filtro!F478,Comparacao!$G$7:$J$200,4,FALSE)</f>
        <v/>
      </c>
    </row>
    <row r="479" spans="1:9" x14ac:dyDescent="0.25">
      <c r="A479" s="3" t="str">
        <f t="array" ref="A479">IFERROR(INDEX(Comparacao!$A$7:$A$200,SMALL(IF(Comparacao!$E$7:$E$200=$A$2,ROW(Comparacao!$A$7:$A$200)),ROW(475:475))-4,1),"")</f>
        <v/>
      </c>
      <c r="B479" s="3" t="str">
        <f>IFERROR(VLOOKUP(A479,Lista1[],2,FALSE),"")</f>
        <v/>
      </c>
      <c r="C479" s="1" t="str">
        <f>VLOOKUP(Filtro!A479,Comparacao!$A$7:$D$200,3,FALSE)</f>
        <v/>
      </c>
      <c r="D479" s="1" t="str">
        <f>VLOOKUP(Filtro!A479,Comparacao!$A$7:$D$200,4,FALSE)</f>
        <v/>
      </c>
      <c r="F479" t="str">
        <f t="array" ref="F479">IFERROR(INDEX(Comparacao!$G$7:$G$200,SMALL(IF(Comparacao!$K$7:$K$200=$A$2,ROW(Comparacao!$G$7:$G$200)),ROW(475:475))-4,1),"")</f>
        <v/>
      </c>
      <c r="G479" t="str">
        <f>IFERROR(VLOOKUP(F479,Lista2[],2,FALSE),"")</f>
        <v/>
      </c>
      <c r="H479" s="1" t="str">
        <f>VLOOKUP(Filtro!F479,Comparacao!$G$7:$J$200,3,FALSE)</f>
        <v/>
      </c>
      <c r="I479" s="1" t="str">
        <f>VLOOKUP(Filtro!F479,Comparacao!$G$7:$J$200,4,FALSE)</f>
        <v/>
      </c>
    </row>
    <row r="480" spans="1:9" x14ac:dyDescent="0.25">
      <c r="A480" s="3" t="str">
        <f t="array" ref="A480">IFERROR(INDEX(Comparacao!$A$7:$A$200,SMALL(IF(Comparacao!$E$7:$E$200=$A$2,ROW(Comparacao!$A$7:$A$200)),ROW(476:476))-4,1),"")</f>
        <v/>
      </c>
      <c r="B480" s="3" t="str">
        <f>IFERROR(VLOOKUP(A480,Lista1[],2,FALSE),"")</f>
        <v/>
      </c>
      <c r="C480" s="1" t="str">
        <f>VLOOKUP(Filtro!A480,Comparacao!$A$7:$D$200,3,FALSE)</f>
        <v/>
      </c>
      <c r="D480" s="1" t="str">
        <f>VLOOKUP(Filtro!A480,Comparacao!$A$7:$D$200,4,FALSE)</f>
        <v/>
      </c>
      <c r="F480" t="str">
        <f t="array" ref="F480">IFERROR(INDEX(Comparacao!$G$7:$G$200,SMALL(IF(Comparacao!$K$7:$K$200=$A$2,ROW(Comparacao!$G$7:$G$200)),ROW(476:476))-4,1),"")</f>
        <v/>
      </c>
      <c r="G480" t="str">
        <f>IFERROR(VLOOKUP(F480,Lista2[],2,FALSE),"")</f>
        <v/>
      </c>
      <c r="H480" s="1" t="str">
        <f>VLOOKUP(Filtro!F480,Comparacao!$G$7:$J$200,3,FALSE)</f>
        <v/>
      </c>
      <c r="I480" s="1" t="str">
        <f>VLOOKUP(Filtro!F480,Comparacao!$G$7:$J$200,4,FALSE)</f>
        <v/>
      </c>
    </row>
    <row r="481" spans="1:9" x14ac:dyDescent="0.25">
      <c r="A481" s="3" t="str">
        <f t="array" ref="A481">IFERROR(INDEX(Comparacao!$A$7:$A$200,SMALL(IF(Comparacao!$E$7:$E$200=$A$2,ROW(Comparacao!$A$7:$A$200)),ROW(477:477))-4,1),"")</f>
        <v/>
      </c>
      <c r="B481" s="3" t="str">
        <f>IFERROR(VLOOKUP(A481,Lista1[],2,FALSE),"")</f>
        <v/>
      </c>
      <c r="C481" s="1" t="str">
        <f>VLOOKUP(Filtro!A481,Comparacao!$A$7:$D$200,3,FALSE)</f>
        <v/>
      </c>
      <c r="D481" s="1" t="str">
        <f>VLOOKUP(Filtro!A481,Comparacao!$A$7:$D$200,4,FALSE)</f>
        <v/>
      </c>
      <c r="F481" t="str">
        <f t="array" ref="F481">IFERROR(INDEX(Comparacao!$G$7:$G$200,SMALL(IF(Comparacao!$K$7:$K$200=$A$2,ROW(Comparacao!$G$7:$G$200)),ROW(477:477))-4,1),"")</f>
        <v/>
      </c>
      <c r="G481" t="str">
        <f>IFERROR(VLOOKUP(F481,Lista2[],2,FALSE),"")</f>
        <v/>
      </c>
      <c r="H481" s="1" t="str">
        <f>VLOOKUP(Filtro!F481,Comparacao!$G$7:$J$200,3,FALSE)</f>
        <v/>
      </c>
      <c r="I481" s="1" t="str">
        <f>VLOOKUP(Filtro!F481,Comparacao!$G$7:$J$200,4,FALSE)</f>
        <v/>
      </c>
    </row>
    <row r="482" spans="1:9" x14ac:dyDescent="0.25">
      <c r="A482" s="3" t="str">
        <f t="array" ref="A482">IFERROR(INDEX(Comparacao!$A$7:$A$200,SMALL(IF(Comparacao!$E$7:$E$200=$A$2,ROW(Comparacao!$A$7:$A$200)),ROW(478:478))-4,1),"")</f>
        <v/>
      </c>
      <c r="B482" s="3" t="str">
        <f>IFERROR(VLOOKUP(A482,Lista1[],2,FALSE),"")</f>
        <v/>
      </c>
      <c r="C482" s="1" t="str">
        <f>VLOOKUP(Filtro!A482,Comparacao!$A$7:$D$200,3,FALSE)</f>
        <v/>
      </c>
      <c r="D482" s="1" t="str">
        <f>VLOOKUP(Filtro!A482,Comparacao!$A$7:$D$200,4,FALSE)</f>
        <v/>
      </c>
      <c r="F482" t="str">
        <f t="array" ref="F482">IFERROR(INDEX(Comparacao!$G$7:$G$200,SMALL(IF(Comparacao!$K$7:$K$200=$A$2,ROW(Comparacao!$G$7:$G$200)),ROW(478:478))-4,1),"")</f>
        <v/>
      </c>
      <c r="G482" t="str">
        <f>IFERROR(VLOOKUP(F482,Lista2[],2,FALSE),"")</f>
        <v/>
      </c>
      <c r="H482" s="1" t="str">
        <f>VLOOKUP(Filtro!F482,Comparacao!$G$7:$J$200,3,FALSE)</f>
        <v/>
      </c>
      <c r="I482" s="1" t="str">
        <f>VLOOKUP(Filtro!F482,Comparacao!$G$7:$J$200,4,FALSE)</f>
        <v/>
      </c>
    </row>
    <row r="483" spans="1:9" x14ac:dyDescent="0.25">
      <c r="A483" s="3" t="str">
        <f t="array" ref="A483">IFERROR(INDEX(Comparacao!$A$7:$A$200,SMALL(IF(Comparacao!$E$7:$E$200=$A$2,ROW(Comparacao!$A$7:$A$200)),ROW(479:479))-4,1),"")</f>
        <v/>
      </c>
      <c r="B483" s="3" t="str">
        <f>IFERROR(VLOOKUP(A483,Lista1[],2,FALSE),"")</f>
        <v/>
      </c>
      <c r="C483" s="1" t="str">
        <f>VLOOKUP(Filtro!A483,Comparacao!$A$7:$D$200,3,FALSE)</f>
        <v/>
      </c>
      <c r="D483" s="1" t="str">
        <f>VLOOKUP(Filtro!A483,Comparacao!$A$7:$D$200,4,FALSE)</f>
        <v/>
      </c>
      <c r="F483" t="str">
        <f t="array" ref="F483">IFERROR(INDEX(Comparacao!$G$7:$G$200,SMALL(IF(Comparacao!$K$7:$K$200=$A$2,ROW(Comparacao!$G$7:$G$200)),ROW(479:479))-4,1),"")</f>
        <v/>
      </c>
      <c r="G483" t="str">
        <f>IFERROR(VLOOKUP(F483,Lista2[],2,FALSE),"")</f>
        <v/>
      </c>
      <c r="H483" s="1" t="str">
        <f>VLOOKUP(Filtro!F483,Comparacao!$G$7:$J$200,3,FALSE)</f>
        <v/>
      </c>
      <c r="I483" s="1" t="str">
        <f>VLOOKUP(Filtro!F483,Comparacao!$G$7:$J$200,4,FALSE)</f>
        <v/>
      </c>
    </row>
    <row r="484" spans="1:9" x14ac:dyDescent="0.25">
      <c r="A484" s="3" t="str">
        <f t="array" ref="A484">IFERROR(INDEX(Comparacao!$A$7:$A$200,SMALL(IF(Comparacao!$E$7:$E$200=$A$2,ROW(Comparacao!$A$7:$A$200)),ROW(480:480))-4,1),"")</f>
        <v/>
      </c>
      <c r="B484" s="3" t="str">
        <f>IFERROR(VLOOKUP(A484,Lista1[],2,FALSE),"")</f>
        <v/>
      </c>
      <c r="C484" s="1" t="str">
        <f>VLOOKUP(Filtro!A484,Comparacao!$A$7:$D$200,3,FALSE)</f>
        <v/>
      </c>
      <c r="D484" s="1" t="str">
        <f>VLOOKUP(Filtro!A484,Comparacao!$A$7:$D$200,4,FALSE)</f>
        <v/>
      </c>
      <c r="F484" t="str">
        <f t="array" ref="F484">IFERROR(INDEX(Comparacao!$G$7:$G$200,SMALL(IF(Comparacao!$K$7:$K$200=$A$2,ROW(Comparacao!$G$7:$G$200)),ROW(480:480))-4,1),"")</f>
        <v/>
      </c>
      <c r="G484" t="str">
        <f>IFERROR(VLOOKUP(F484,Lista2[],2,FALSE),"")</f>
        <v/>
      </c>
      <c r="H484" s="1" t="str">
        <f>VLOOKUP(Filtro!F484,Comparacao!$G$7:$J$200,3,FALSE)</f>
        <v/>
      </c>
      <c r="I484" s="1" t="str">
        <f>VLOOKUP(Filtro!F484,Comparacao!$G$7:$J$200,4,FALSE)</f>
        <v/>
      </c>
    </row>
    <row r="485" spans="1:9" x14ac:dyDescent="0.25">
      <c r="A485" s="3" t="str">
        <f t="array" ref="A485">IFERROR(INDEX(Comparacao!$A$7:$A$200,SMALL(IF(Comparacao!$E$7:$E$200=$A$2,ROW(Comparacao!$A$7:$A$200)),ROW(481:481))-4,1),"")</f>
        <v/>
      </c>
      <c r="B485" s="3" t="str">
        <f>IFERROR(VLOOKUP(A485,Lista1[],2,FALSE),"")</f>
        <v/>
      </c>
      <c r="C485" s="1" t="str">
        <f>VLOOKUP(Filtro!A485,Comparacao!$A$7:$D$200,3,FALSE)</f>
        <v/>
      </c>
      <c r="D485" s="1" t="str">
        <f>VLOOKUP(Filtro!A485,Comparacao!$A$7:$D$200,4,FALSE)</f>
        <v/>
      </c>
      <c r="F485" t="str">
        <f t="array" ref="F485">IFERROR(INDEX(Comparacao!$G$7:$G$200,SMALL(IF(Comparacao!$K$7:$K$200=$A$2,ROW(Comparacao!$G$7:$G$200)),ROW(481:481))-4,1),"")</f>
        <v/>
      </c>
      <c r="G485" t="str">
        <f>IFERROR(VLOOKUP(F485,Lista2[],2,FALSE),"")</f>
        <v/>
      </c>
      <c r="H485" s="1" t="str">
        <f>VLOOKUP(Filtro!F485,Comparacao!$G$7:$J$200,3,FALSE)</f>
        <v/>
      </c>
      <c r="I485" s="1" t="str">
        <f>VLOOKUP(Filtro!F485,Comparacao!$G$7:$J$200,4,FALSE)</f>
        <v/>
      </c>
    </row>
    <row r="486" spans="1:9" x14ac:dyDescent="0.25">
      <c r="A486" s="3" t="str">
        <f t="array" ref="A486">IFERROR(INDEX(Comparacao!$A$7:$A$200,SMALL(IF(Comparacao!$E$7:$E$200=$A$2,ROW(Comparacao!$A$7:$A$200)),ROW(482:482))-4,1),"")</f>
        <v/>
      </c>
      <c r="B486" s="3" t="str">
        <f>IFERROR(VLOOKUP(A486,Lista1[],2,FALSE),"")</f>
        <v/>
      </c>
      <c r="C486" s="1" t="str">
        <f>VLOOKUP(Filtro!A486,Comparacao!$A$7:$D$200,3,FALSE)</f>
        <v/>
      </c>
      <c r="D486" s="1" t="str">
        <f>VLOOKUP(Filtro!A486,Comparacao!$A$7:$D$200,4,FALSE)</f>
        <v/>
      </c>
      <c r="F486" t="str">
        <f t="array" ref="F486">IFERROR(INDEX(Comparacao!$G$7:$G$200,SMALL(IF(Comparacao!$K$7:$K$200=$A$2,ROW(Comparacao!$G$7:$G$200)),ROW(482:482))-4,1),"")</f>
        <v/>
      </c>
      <c r="G486" t="str">
        <f>IFERROR(VLOOKUP(F486,Lista2[],2,FALSE),"")</f>
        <v/>
      </c>
      <c r="H486" s="1" t="str">
        <f>VLOOKUP(Filtro!F486,Comparacao!$G$7:$J$200,3,FALSE)</f>
        <v/>
      </c>
      <c r="I486" s="1" t="str">
        <f>VLOOKUP(Filtro!F486,Comparacao!$G$7:$J$200,4,FALSE)</f>
        <v/>
      </c>
    </row>
    <row r="487" spans="1:9" x14ac:dyDescent="0.25">
      <c r="A487" s="3" t="str">
        <f t="array" ref="A487">IFERROR(INDEX(Comparacao!$A$7:$A$200,SMALL(IF(Comparacao!$E$7:$E$200=$A$2,ROW(Comparacao!$A$7:$A$200)),ROW(483:483))-4,1),"")</f>
        <v/>
      </c>
      <c r="B487" s="3" t="str">
        <f>IFERROR(VLOOKUP(A487,Lista1[],2,FALSE),"")</f>
        <v/>
      </c>
      <c r="C487" s="1" t="str">
        <f>VLOOKUP(Filtro!A487,Comparacao!$A$7:$D$200,3,FALSE)</f>
        <v/>
      </c>
      <c r="D487" s="1" t="str">
        <f>VLOOKUP(Filtro!A487,Comparacao!$A$7:$D$200,4,FALSE)</f>
        <v/>
      </c>
      <c r="F487" t="str">
        <f t="array" ref="F487">IFERROR(INDEX(Comparacao!$G$7:$G$200,SMALL(IF(Comparacao!$K$7:$K$200=$A$2,ROW(Comparacao!$G$7:$G$200)),ROW(483:483))-4,1),"")</f>
        <v/>
      </c>
      <c r="G487" t="str">
        <f>IFERROR(VLOOKUP(F487,Lista2[],2,FALSE),"")</f>
        <v/>
      </c>
      <c r="H487" s="1" t="str">
        <f>VLOOKUP(Filtro!F487,Comparacao!$G$7:$J$200,3,FALSE)</f>
        <v/>
      </c>
      <c r="I487" s="1" t="str">
        <f>VLOOKUP(Filtro!F487,Comparacao!$G$7:$J$200,4,FALSE)</f>
        <v/>
      </c>
    </row>
    <row r="488" spans="1:9" x14ac:dyDescent="0.25">
      <c r="A488" s="3" t="str">
        <f t="array" ref="A488">IFERROR(INDEX(Comparacao!$A$7:$A$200,SMALL(IF(Comparacao!$E$7:$E$200=$A$2,ROW(Comparacao!$A$7:$A$200)),ROW(484:484))-4,1),"")</f>
        <v/>
      </c>
      <c r="B488" s="3" t="str">
        <f>IFERROR(VLOOKUP(A488,Lista1[],2,FALSE),"")</f>
        <v/>
      </c>
      <c r="C488" s="1" t="str">
        <f>VLOOKUP(Filtro!A488,Comparacao!$A$7:$D$200,3,FALSE)</f>
        <v/>
      </c>
      <c r="D488" s="1" t="str">
        <f>VLOOKUP(Filtro!A488,Comparacao!$A$7:$D$200,4,FALSE)</f>
        <v/>
      </c>
      <c r="F488" t="str">
        <f t="array" ref="F488">IFERROR(INDEX(Comparacao!$G$7:$G$200,SMALL(IF(Comparacao!$K$7:$K$200=$A$2,ROW(Comparacao!$G$7:$G$200)),ROW(484:484))-4,1),"")</f>
        <v/>
      </c>
      <c r="G488" t="str">
        <f>IFERROR(VLOOKUP(F488,Lista2[],2,FALSE),"")</f>
        <v/>
      </c>
      <c r="H488" s="1" t="str">
        <f>VLOOKUP(Filtro!F488,Comparacao!$G$7:$J$200,3,FALSE)</f>
        <v/>
      </c>
      <c r="I488" s="1" t="str">
        <f>VLOOKUP(Filtro!F488,Comparacao!$G$7:$J$200,4,FALSE)</f>
        <v/>
      </c>
    </row>
    <row r="489" spans="1:9" x14ac:dyDescent="0.25">
      <c r="A489" s="3" t="str">
        <f t="array" ref="A489">IFERROR(INDEX(Comparacao!$A$7:$A$200,SMALL(IF(Comparacao!$E$7:$E$200=$A$2,ROW(Comparacao!$A$7:$A$200)),ROW(485:485))-4,1),"")</f>
        <v/>
      </c>
      <c r="B489" s="3" t="str">
        <f>IFERROR(VLOOKUP(A489,Lista1[],2,FALSE),"")</f>
        <v/>
      </c>
      <c r="C489" s="1" t="str">
        <f>VLOOKUP(Filtro!A489,Comparacao!$A$7:$D$200,3,FALSE)</f>
        <v/>
      </c>
      <c r="D489" s="1" t="str">
        <f>VLOOKUP(Filtro!A489,Comparacao!$A$7:$D$200,4,FALSE)</f>
        <v/>
      </c>
      <c r="F489" t="str">
        <f t="array" ref="F489">IFERROR(INDEX(Comparacao!$G$7:$G$200,SMALL(IF(Comparacao!$K$7:$K$200=$A$2,ROW(Comparacao!$G$7:$G$200)),ROW(485:485))-4,1),"")</f>
        <v/>
      </c>
      <c r="G489" t="str">
        <f>IFERROR(VLOOKUP(F489,Lista2[],2,FALSE),"")</f>
        <v/>
      </c>
      <c r="H489" s="1" t="str">
        <f>VLOOKUP(Filtro!F489,Comparacao!$G$7:$J$200,3,FALSE)</f>
        <v/>
      </c>
      <c r="I489" s="1" t="str">
        <f>VLOOKUP(Filtro!F489,Comparacao!$G$7:$J$200,4,FALSE)</f>
        <v/>
      </c>
    </row>
    <row r="490" spans="1:9" x14ac:dyDescent="0.25">
      <c r="A490" s="3" t="str">
        <f t="array" ref="A490">IFERROR(INDEX(Comparacao!$A$7:$A$200,SMALL(IF(Comparacao!$E$7:$E$200=$A$2,ROW(Comparacao!$A$7:$A$200)),ROW(486:486))-4,1),"")</f>
        <v/>
      </c>
      <c r="B490" s="3" t="str">
        <f>IFERROR(VLOOKUP(A490,Lista1[],2,FALSE),"")</f>
        <v/>
      </c>
      <c r="C490" s="1" t="str">
        <f>VLOOKUP(Filtro!A490,Comparacao!$A$7:$D$200,3,FALSE)</f>
        <v/>
      </c>
      <c r="D490" s="1" t="str">
        <f>VLOOKUP(Filtro!A490,Comparacao!$A$7:$D$200,4,FALSE)</f>
        <v/>
      </c>
      <c r="F490" t="str">
        <f t="array" ref="F490">IFERROR(INDEX(Comparacao!$G$7:$G$200,SMALL(IF(Comparacao!$K$7:$K$200=$A$2,ROW(Comparacao!$G$7:$G$200)),ROW(486:486))-4,1),"")</f>
        <v/>
      </c>
      <c r="G490" t="str">
        <f>IFERROR(VLOOKUP(F490,Lista2[],2,FALSE),"")</f>
        <v/>
      </c>
      <c r="H490" s="1" t="str">
        <f>VLOOKUP(Filtro!F490,Comparacao!$G$7:$J$200,3,FALSE)</f>
        <v/>
      </c>
      <c r="I490" s="1" t="str">
        <f>VLOOKUP(Filtro!F490,Comparacao!$G$7:$J$200,4,FALSE)</f>
        <v/>
      </c>
    </row>
    <row r="491" spans="1:9" x14ac:dyDescent="0.25">
      <c r="A491" s="3" t="str">
        <f t="array" ref="A491">IFERROR(INDEX(Comparacao!$A$7:$A$200,SMALL(IF(Comparacao!$E$7:$E$200=$A$2,ROW(Comparacao!$A$7:$A$200)),ROW(487:487))-4,1),"")</f>
        <v/>
      </c>
      <c r="B491" s="3" t="str">
        <f>IFERROR(VLOOKUP(A491,Lista1[],2,FALSE),"")</f>
        <v/>
      </c>
      <c r="C491" s="1" t="str">
        <f>VLOOKUP(Filtro!A491,Comparacao!$A$7:$D$200,3,FALSE)</f>
        <v/>
      </c>
      <c r="D491" s="1" t="str">
        <f>VLOOKUP(Filtro!A491,Comparacao!$A$7:$D$200,4,FALSE)</f>
        <v/>
      </c>
      <c r="F491" t="str">
        <f t="array" ref="F491">IFERROR(INDEX(Comparacao!$G$7:$G$200,SMALL(IF(Comparacao!$K$7:$K$200=$A$2,ROW(Comparacao!$G$7:$G$200)),ROW(487:487))-4,1),"")</f>
        <v/>
      </c>
      <c r="G491" t="str">
        <f>IFERROR(VLOOKUP(F491,Lista2[],2,FALSE),"")</f>
        <v/>
      </c>
      <c r="H491" s="1" t="str">
        <f>VLOOKUP(Filtro!F491,Comparacao!$G$7:$J$200,3,FALSE)</f>
        <v/>
      </c>
      <c r="I491" s="1" t="str">
        <f>VLOOKUP(Filtro!F491,Comparacao!$G$7:$J$200,4,FALSE)</f>
        <v/>
      </c>
    </row>
    <row r="492" spans="1:9" x14ac:dyDescent="0.25">
      <c r="A492" s="3" t="str">
        <f t="array" ref="A492">IFERROR(INDEX(Comparacao!$A$7:$A$200,SMALL(IF(Comparacao!$E$7:$E$200=$A$2,ROW(Comparacao!$A$7:$A$200)),ROW(488:488))-4,1),"")</f>
        <v/>
      </c>
      <c r="B492" s="3" t="str">
        <f>IFERROR(VLOOKUP(A492,Lista1[],2,FALSE),"")</f>
        <v/>
      </c>
      <c r="C492" s="1" t="str">
        <f>VLOOKUP(Filtro!A492,Comparacao!$A$7:$D$200,3,FALSE)</f>
        <v/>
      </c>
      <c r="D492" s="1" t="str">
        <f>VLOOKUP(Filtro!A492,Comparacao!$A$7:$D$200,4,FALSE)</f>
        <v/>
      </c>
      <c r="F492" t="str">
        <f t="array" ref="F492">IFERROR(INDEX(Comparacao!$G$7:$G$200,SMALL(IF(Comparacao!$K$7:$K$200=$A$2,ROW(Comparacao!$G$7:$G$200)),ROW(488:488))-4,1),"")</f>
        <v/>
      </c>
      <c r="G492" t="str">
        <f>IFERROR(VLOOKUP(F492,Lista2[],2,FALSE),"")</f>
        <v/>
      </c>
      <c r="H492" s="1" t="str">
        <f>VLOOKUP(Filtro!F492,Comparacao!$G$7:$J$200,3,FALSE)</f>
        <v/>
      </c>
      <c r="I492" s="1" t="str">
        <f>VLOOKUP(Filtro!F492,Comparacao!$G$7:$J$200,4,FALSE)</f>
        <v/>
      </c>
    </row>
    <row r="493" spans="1:9" x14ac:dyDescent="0.25">
      <c r="A493" s="3" t="str">
        <f t="array" ref="A493">IFERROR(INDEX(Comparacao!$A$7:$A$200,SMALL(IF(Comparacao!$E$7:$E$200=$A$2,ROW(Comparacao!$A$7:$A$200)),ROW(489:489))-4,1),"")</f>
        <v/>
      </c>
      <c r="B493" s="3" t="str">
        <f>IFERROR(VLOOKUP(A493,Lista1[],2,FALSE),"")</f>
        <v/>
      </c>
      <c r="C493" s="1" t="str">
        <f>VLOOKUP(Filtro!A493,Comparacao!$A$7:$D$200,3,FALSE)</f>
        <v/>
      </c>
      <c r="D493" s="1" t="str">
        <f>VLOOKUP(Filtro!A493,Comparacao!$A$7:$D$200,4,FALSE)</f>
        <v/>
      </c>
      <c r="F493" t="str">
        <f t="array" ref="F493">IFERROR(INDEX(Comparacao!$G$7:$G$200,SMALL(IF(Comparacao!$K$7:$K$200=$A$2,ROW(Comparacao!$G$7:$G$200)),ROW(489:489))-4,1),"")</f>
        <v/>
      </c>
      <c r="G493" t="str">
        <f>IFERROR(VLOOKUP(F493,Lista2[],2,FALSE),"")</f>
        <v/>
      </c>
      <c r="H493" s="1" t="str">
        <f>VLOOKUP(Filtro!F493,Comparacao!$G$7:$J$200,3,FALSE)</f>
        <v/>
      </c>
      <c r="I493" s="1" t="str">
        <f>VLOOKUP(Filtro!F493,Comparacao!$G$7:$J$200,4,FALSE)</f>
        <v/>
      </c>
    </row>
    <row r="494" spans="1:9" x14ac:dyDescent="0.25">
      <c r="A494" s="3" t="str">
        <f t="array" ref="A494">IFERROR(INDEX(Comparacao!$A$7:$A$200,SMALL(IF(Comparacao!$E$7:$E$200=$A$2,ROW(Comparacao!$A$7:$A$200)),ROW(490:490))-4,1),"")</f>
        <v/>
      </c>
      <c r="B494" s="3" t="str">
        <f>IFERROR(VLOOKUP(A494,Lista1[],2,FALSE),"")</f>
        <v/>
      </c>
      <c r="C494" s="1" t="str">
        <f>VLOOKUP(Filtro!A494,Comparacao!$A$7:$D$200,3,FALSE)</f>
        <v/>
      </c>
      <c r="D494" s="1" t="str">
        <f>VLOOKUP(Filtro!A494,Comparacao!$A$7:$D$200,4,FALSE)</f>
        <v/>
      </c>
      <c r="F494" t="str">
        <f t="array" ref="F494">IFERROR(INDEX(Comparacao!$G$7:$G$200,SMALL(IF(Comparacao!$K$7:$K$200=$A$2,ROW(Comparacao!$G$7:$G$200)),ROW(490:490))-4,1),"")</f>
        <v/>
      </c>
      <c r="G494" t="str">
        <f>IFERROR(VLOOKUP(F494,Lista2[],2,FALSE),"")</f>
        <v/>
      </c>
      <c r="H494" s="1" t="str">
        <f>VLOOKUP(Filtro!F494,Comparacao!$G$7:$J$200,3,FALSE)</f>
        <v/>
      </c>
      <c r="I494" s="1" t="str">
        <f>VLOOKUP(Filtro!F494,Comparacao!$G$7:$J$200,4,FALSE)</f>
        <v/>
      </c>
    </row>
    <row r="495" spans="1:9" x14ac:dyDescent="0.25">
      <c r="A495" s="3" t="str">
        <f t="array" ref="A495">IFERROR(INDEX(Comparacao!$A$7:$A$200,SMALL(IF(Comparacao!$E$7:$E$200=$A$2,ROW(Comparacao!$A$7:$A$200)),ROW(491:491))-4,1),"")</f>
        <v/>
      </c>
      <c r="B495" s="3" t="str">
        <f>IFERROR(VLOOKUP(A495,Lista1[],2,FALSE),"")</f>
        <v/>
      </c>
      <c r="C495" s="1" t="str">
        <f>VLOOKUP(Filtro!A495,Comparacao!$A$7:$D$200,3,FALSE)</f>
        <v/>
      </c>
      <c r="D495" s="1" t="str">
        <f>VLOOKUP(Filtro!A495,Comparacao!$A$7:$D$200,4,FALSE)</f>
        <v/>
      </c>
      <c r="F495" t="str">
        <f t="array" ref="F495">IFERROR(INDEX(Comparacao!$G$7:$G$200,SMALL(IF(Comparacao!$K$7:$K$200=$A$2,ROW(Comparacao!$G$7:$G$200)),ROW(491:491))-4,1),"")</f>
        <v/>
      </c>
      <c r="G495" t="str">
        <f>IFERROR(VLOOKUP(F495,Lista2[],2,FALSE),"")</f>
        <v/>
      </c>
      <c r="H495" s="1" t="str">
        <f>VLOOKUP(Filtro!F495,Comparacao!$G$7:$J$200,3,FALSE)</f>
        <v/>
      </c>
      <c r="I495" s="1" t="str">
        <f>VLOOKUP(Filtro!F495,Comparacao!$G$7:$J$200,4,FALSE)</f>
        <v/>
      </c>
    </row>
    <row r="496" spans="1:9" x14ac:dyDescent="0.25">
      <c r="A496" s="3" t="str">
        <f t="array" ref="A496">IFERROR(INDEX(Comparacao!$A$7:$A$200,SMALL(IF(Comparacao!$E$7:$E$200=$A$2,ROW(Comparacao!$A$7:$A$200)),ROW(492:492))-4,1),"")</f>
        <v/>
      </c>
      <c r="B496" s="3" t="str">
        <f>IFERROR(VLOOKUP(A496,Lista1[],2,FALSE),"")</f>
        <v/>
      </c>
      <c r="C496" s="1" t="str">
        <f>VLOOKUP(Filtro!A496,Comparacao!$A$7:$D$200,3,FALSE)</f>
        <v/>
      </c>
      <c r="D496" s="1" t="str">
        <f>VLOOKUP(Filtro!A496,Comparacao!$A$7:$D$200,4,FALSE)</f>
        <v/>
      </c>
      <c r="F496" t="str">
        <f t="array" ref="F496">IFERROR(INDEX(Comparacao!$G$7:$G$200,SMALL(IF(Comparacao!$K$7:$K$200=$A$2,ROW(Comparacao!$G$7:$G$200)),ROW(492:492))-4,1),"")</f>
        <v/>
      </c>
      <c r="G496" t="str">
        <f>IFERROR(VLOOKUP(F496,Lista2[],2,FALSE),"")</f>
        <v/>
      </c>
      <c r="H496" s="1" t="str">
        <f>VLOOKUP(Filtro!F496,Comparacao!$G$7:$J$200,3,FALSE)</f>
        <v/>
      </c>
      <c r="I496" s="1" t="str">
        <f>VLOOKUP(Filtro!F496,Comparacao!$G$7:$J$200,4,FALSE)</f>
        <v/>
      </c>
    </row>
    <row r="497" spans="1:9" x14ac:dyDescent="0.25">
      <c r="A497" s="3" t="str">
        <f t="array" ref="A497">IFERROR(INDEX(Comparacao!$A$7:$A$200,SMALL(IF(Comparacao!$E$7:$E$200=$A$2,ROW(Comparacao!$A$7:$A$200)),ROW(493:493))-4,1),"")</f>
        <v/>
      </c>
      <c r="B497" s="3" t="str">
        <f>IFERROR(VLOOKUP(A497,Lista1[],2,FALSE),"")</f>
        <v/>
      </c>
      <c r="C497" s="1" t="str">
        <f>VLOOKUP(Filtro!A497,Comparacao!$A$7:$D$200,3,FALSE)</f>
        <v/>
      </c>
      <c r="D497" s="1" t="str">
        <f>VLOOKUP(Filtro!A497,Comparacao!$A$7:$D$200,4,FALSE)</f>
        <v/>
      </c>
      <c r="F497" t="str">
        <f t="array" ref="F497">IFERROR(INDEX(Comparacao!$G$7:$G$200,SMALL(IF(Comparacao!$K$7:$K$200=$A$2,ROW(Comparacao!$G$7:$G$200)),ROW(493:493))-4,1),"")</f>
        <v/>
      </c>
      <c r="G497" t="str">
        <f>IFERROR(VLOOKUP(F497,Lista2[],2,FALSE),"")</f>
        <v/>
      </c>
      <c r="H497" s="1" t="str">
        <f>VLOOKUP(Filtro!F497,Comparacao!$G$7:$J$200,3,FALSE)</f>
        <v/>
      </c>
      <c r="I497" s="1" t="str">
        <f>VLOOKUP(Filtro!F497,Comparacao!$G$7:$J$200,4,FALSE)</f>
        <v/>
      </c>
    </row>
    <row r="498" spans="1:9" x14ac:dyDescent="0.25">
      <c r="A498" s="3" t="str">
        <f t="array" ref="A498">IFERROR(INDEX(Comparacao!$A$7:$A$200,SMALL(IF(Comparacao!$E$7:$E$200=$A$2,ROW(Comparacao!$A$7:$A$200)),ROW(494:494))-4,1),"")</f>
        <v/>
      </c>
      <c r="B498" s="3" t="str">
        <f>IFERROR(VLOOKUP(A498,Lista1[],2,FALSE),"")</f>
        <v/>
      </c>
      <c r="C498" s="1" t="str">
        <f>VLOOKUP(Filtro!A498,Comparacao!$A$7:$D$200,3,FALSE)</f>
        <v/>
      </c>
      <c r="D498" s="1" t="str">
        <f>VLOOKUP(Filtro!A498,Comparacao!$A$7:$D$200,4,FALSE)</f>
        <v/>
      </c>
      <c r="F498" t="str">
        <f t="array" ref="F498">IFERROR(INDEX(Comparacao!$G$7:$G$200,SMALL(IF(Comparacao!$K$7:$K$200=$A$2,ROW(Comparacao!$G$7:$G$200)),ROW(494:494))-4,1),"")</f>
        <v/>
      </c>
      <c r="G498" t="str">
        <f>IFERROR(VLOOKUP(F498,Lista2[],2,FALSE),"")</f>
        <v/>
      </c>
      <c r="H498" s="1" t="str">
        <f>VLOOKUP(Filtro!F498,Comparacao!$G$7:$J$200,3,FALSE)</f>
        <v/>
      </c>
      <c r="I498" s="1" t="str">
        <f>VLOOKUP(Filtro!F498,Comparacao!$G$7:$J$200,4,FALSE)</f>
        <v/>
      </c>
    </row>
    <row r="499" spans="1:9" x14ac:dyDescent="0.25">
      <c r="A499" s="3" t="str">
        <f t="array" ref="A499">IFERROR(INDEX(Comparacao!$A$7:$A$200,SMALL(IF(Comparacao!$E$7:$E$200=$A$2,ROW(Comparacao!$A$7:$A$200)),ROW(495:495))-4,1),"")</f>
        <v/>
      </c>
      <c r="B499" s="3" t="str">
        <f>IFERROR(VLOOKUP(A499,Lista1[],2,FALSE),"")</f>
        <v/>
      </c>
      <c r="C499" s="1" t="str">
        <f>VLOOKUP(Filtro!A499,Comparacao!$A$7:$D$200,3,FALSE)</f>
        <v/>
      </c>
      <c r="D499" s="1" t="str">
        <f>VLOOKUP(Filtro!A499,Comparacao!$A$7:$D$200,4,FALSE)</f>
        <v/>
      </c>
      <c r="F499" t="str">
        <f t="array" ref="F499">IFERROR(INDEX(Comparacao!$G$7:$G$200,SMALL(IF(Comparacao!$K$7:$K$200=$A$2,ROW(Comparacao!$G$7:$G$200)),ROW(495:495))-4,1),"")</f>
        <v/>
      </c>
      <c r="G499" t="str">
        <f>IFERROR(VLOOKUP(F499,Lista2[],2,FALSE),"")</f>
        <v/>
      </c>
      <c r="H499" s="1" t="str">
        <f>VLOOKUP(Filtro!F499,Comparacao!$G$7:$J$200,3,FALSE)</f>
        <v/>
      </c>
      <c r="I499" s="1" t="str">
        <f>VLOOKUP(Filtro!F499,Comparacao!$G$7:$J$200,4,FALSE)</f>
        <v/>
      </c>
    </row>
  </sheetData>
  <mergeCells count="2">
    <mergeCell ref="A3:D3"/>
    <mergeCell ref="F3:I3"/>
  </mergeCells>
  <conditionalFormatting sqref="A5:D500">
    <cfRule type="expression" dxfId="1" priority="2">
      <formula>AND(MOD(ROW($C5),2)&lt;&gt;0,$A5&lt;&gt;"")</formula>
    </cfRule>
  </conditionalFormatting>
  <conditionalFormatting sqref="F5:I500">
    <cfRule type="expression" dxfId="0" priority="1">
      <formula>AND(MOD(ROW($H5),2)&lt;&gt;0,$F5&lt;&gt;"")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Inicio</vt:lpstr>
      <vt:lpstr>Comparacao</vt:lpstr>
      <vt:lpstr>Filtro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Alyta Queiroz</dc:creator>
  <cp:lastModifiedBy>Tales Dellane de Araújo</cp:lastModifiedBy>
  <dcterms:created xsi:type="dcterms:W3CDTF">2020-11-13T18:31:25Z</dcterms:created>
  <dcterms:modified xsi:type="dcterms:W3CDTF">2021-02-10T15:59:34Z</dcterms:modified>
</cp:coreProperties>
</file>